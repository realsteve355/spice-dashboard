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67371d77ccfb8/Documents/Crypto/spice-dashboard/docs/economy-model/mpc_spreadsheet/"/>
    </mc:Choice>
  </mc:AlternateContent>
  <xr:revisionPtr revIDLastSave="55" documentId="8_{0252EE9B-E084-4FE6-ACA0-6F1DC93FB747}" xr6:coauthVersionLast="47" xr6:coauthVersionMax="47" xr10:uidLastSave="{E0E2EEC8-83DB-471A-AE76-7280FBD1FE14}"/>
  <bookViews>
    <workbookView xWindow="-108" yWindow="-108" windowWidth="23256" windowHeight="12456" activeTab="4" xr2:uid="{25826AAD-6613-48A6-9158-3D5A8725E2E6}"/>
  </bookViews>
  <sheets>
    <sheet name="TopSheet" sheetId="1" r:id="rId1"/>
    <sheet name="basket_trajectory" sheetId="8" r:id="rId2"/>
    <sheet name="basket_composition" sheetId="7" r:id="rId3"/>
    <sheet name="maryfontaine_headlines" sheetId="2" r:id="rId4"/>
    <sheet name="external_companies" sheetId="3" r:id="rId5"/>
    <sheet name="mpc_calc_per_company" sheetId="6" r:id="rId6"/>
    <sheet name="transactions_per_business" sheetId="5" r:id="rId7"/>
    <sheet name="external_by_sector" sheetId="4" r:id="rId8"/>
    <sheet name="Sheet2" sheetId="9" r:id="rId9"/>
  </sheets>
  <definedNames>
    <definedName name="ExternalData_1" localSheetId="7" hidden="1">external_by_sector!$A$1:$F$27</definedName>
    <definedName name="ExternalData_1" localSheetId="4" hidden="1">external_companies!$A$1:$G$106</definedName>
    <definedName name="ExternalData_1" localSheetId="3" hidden="1">maryfontaine_headlines!$A$1:$C$27</definedName>
    <definedName name="ExternalData_2" localSheetId="2" hidden="1">basket_composition!$A$1:$G$11</definedName>
    <definedName name="ExternalData_2" localSheetId="6" hidden="1">transactions_per_business!$A$1:$I$16</definedName>
    <definedName name="ExternalData_3" localSheetId="1" hidden="1">basket_trajectory!$A$1:$N$27</definedName>
    <definedName name="ExternalData_3" localSheetId="5" hidden="1">mpc_calc_per_company!$A$1:$H$106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E6" i="1"/>
  <c r="E5" i="1"/>
  <c r="E4" i="1"/>
  <c r="E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125C2F-A40B-4666-B2BC-34936E20E64B}" keepAlive="1" name="Query - basket_composition" description="Connection to the 'basket_composition' query in the workbook." type="5" refreshedVersion="8" background="1" saveData="1">
    <dbPr connection="Provider=Microsoft.Mashup.OleDb.1;Data Source=$Workbook$;Location=basket_composition;Extended Properties=&quot;&quot;" command="SELECT * FROM [basket_composition]"/>
  </connection>
  <connection id="2" xr16:uid="{582AC198-8653-458D-A0D3-E1E2BA835380}" keepAlive="1" name="Query - basket_trajectory" description="Connection to the 'basket_trajectory' query in the workbook." type="5" refreshedVersion="8" background="1" saveData="1">
    <dbPr connection="Provider=Microsoft.Mashup.OleDb.1;Data Source=$Workbook$;Location=basket_trajectory;Extended Properties=&quot;&quot;" command="SELECT * FROM [basket_trajectory]"/>
  </connection>
  <connection id="3" xr16:uid="{61AF42D6-CBA1-425E-AFFD-96B74C2E047F}" keepAlive="1" name="Query - external_by_sector" description="Connection to the 'external_by_sector' query in the workbook." type="5" refreshedVersion="8" background="1" saveData="1">
    <dbPr connection="Provider=Microsoft.Mashup.OleDb.1;Data Source=$Workbook$;Location=external_by_sector;Extended Properties=&quot;&quot;" command="SELECT * FROM [external_by_sector]"/>
  </connection>
  <connection id="4" xr16:uid="{E76B1B51-94AA-4F22-90E2-3F4B1C6A6C27}" keepAlive="1" name="Query - external_companies" description="Connection to the 'external_companies' query in the workbook." type="5" refreshedVersion="8" background="1" saveData="1">
    <dbPr connection="Provider=Microsoft.Mashup.OleDb.1;Data Source=$Workbook$;Location=external_companies;Extended Properties=&quot;&quot;" command="SELECT * FROM [external_companies]"/>
  </connection>
  <connection id="5" xr16:uid="{D3E244F9-CFEF-452F-B440-4061076B5F98}" keepAlive="1" name="Query - maryfontaine_headlines" description="Connection to the 'maryfontaine_headlines' query in the workbook." type="5" refreshedVersion="8" background="1" saveData="1">
    <dbPr connection="Provider=Microsoft.Mashup.OleDb.1;Data Source=$Workbook$;Location=maryfontaine_headlines;Extended Properties=&quot;&quot;" command="SELECT * FROM [maryfontaine_headlines]"/>
  </connection>
  <connection id="6" xr16:uid="{3F10DF2A-2DCA-41C6-A498-D6B268ADB1FC}" keepAlive="1" name="Query - mpc_calc_per_company" description="Connection to the 'mpc_calc_per_company' query in the workbook." type="5" refreshedVersion="8" background="1" saveData="1">
    <dbPr connection="Provider=Microsoft.Mashup.OleDb.1;Data Source=$Workbook$;Location=mpc_calc_per_company;Extended Properties=&quot;&quot;" command="SELECT * FROM [mpc_calc_per_company]"/>
  </connection>
  <connection id="7" xr16:uid="{A5903AFF-11B4-48F5-8796-F937D1F44D73}" keepAlive="1" name="Query - transactions_per_business" description="Connection to the 'transactions_per_business' query in the workbook." type="5" refreshedVersion="8" background="1" saveData="1">
    <dbPr connection="Provider=Microsoft.Mashup.OleDb.1;Data Source=$Workbook$;Location=transactions_per_business;Extended Properties=&quot;&quot;" command="SELECT * FROM [transactions_per_business]"/>
  </connection>
</connections>
</file>

<file path=xl/sharedStrings.xml><?xml version="1.0" encoding="utf-8"?>
<sst xmlns="http://schemas.openxmlformats.org/spreadsheetml/2006/main" count="723" uniqueCount="279">
  <si>
    <t>Column1</t>
  </si>
  <si>
    <t>Column2</t>
  </si>
  <si>
    <t>Column3</t>
  </si>
  <si>
    <t>metric</t>
  </si>
  <si>
    <t>value</t>
  </si>
  <si>
    <t>note</t>
  </si>
  <si>
    <t>Population</t>
  </si>
  <si>
    <t>39,000</t>
  </si>
  <si>
    <t>Total residents of Maryfontaine</t>
  </si>
  <si>
    <t>Households</t>
  </si>
  <si>
    <t>15,000</t>
  </si>
  <si>
    <t>~2.6 people per household (US median 2.51)</t>
  </si>
  <si>
    <t>Adults (≥18)</t>
  </si>
  <si>
    <t>30,000</t>
  </si>
  <si>
    <t>~77% of US population is 18+; 30k is rounded</t>
  </si>
  <si>
    <t>Children + minors</t>
  </si>
  <si>
    <t>9,000</t>
  </si>
  <si>
    <t>~23% of US population is under 18</t>
  </si>
  <si>
    <t>Citizens (= adults registered)</t>
  </si>
  <si>
    <t>Assume all adults register; minors join at 18</t>
  </si>
  <si>
    <t>Workforce (employed)</t>
  </si>
  <si>
    <t>18,000</t>
  </si>
  <si>
    <t>~60% labour participation × 30k adults</t>
  </si>
  <si>
    <t>Retirees</t>
  </si>
  <si>
    <t xml:space="preserve"> 6,500</t>
  </si>
  <si>
    <t>~17% of population — slightly above US avg of 16%</t>
  </si>
  <si>
    <t>Working-age unemployed</t>
  </si>
  <si>
    <t xml:space="preserve"> 4,500</t>
  </si>
  <si>
    <t>Pre-AXION; includes those out of workforce</t>
  </si>
  <si>
    <t/>
  </si>
  <si>
    <t>External businesses (named)</t>
  </si>
  <si>
    <t>105</t>
  </si>
  <si>
    <t>In external_suppliers.py — big brands sample</t>
  </si>
  <si>
    <t>External businesses (full universe est.)</t>
  </si>
  <si>
    <t>~2,500</t>
  </si>
  <si>
    <t>6.5 firms per 100 people × 39k → ~2,500</t>
  </si>
  <si>
    <t>Internal colony companies</t>
  </si>
  <si>
    <t>5</t>
  </si>
  <si>
    <t>Café, school, repair, clinic, Dave's Co in current model</t>
  </si>
  <si>
    <t>Transactions/HH/month</t>
  </si>
  <si>
    <t>70</t>
  </si>
  <si>
    <t>55 external + 15 internal — calibrated for Amazon-era US household</t>
  </si>
  <si>
    <t>Total monthly transactions</t>
  </si>
  <si>
    <t>1,050,000</t>
  </si>
  <si>
    <t>15k HH × 70 txs</t>
  </si>
  <si>
    <t>Total annual transactions</t>
  </si>
  <si>
    <t>12.6M</t>
  </si>
  <si>
    <t>Colony-wide</t>
  </si>
  <si>
    <t>External outflow/year (modelled)</t>
  </si>
  <si>
    <t>$134.6M</t>
  </si>
  <si>
    <t>Sample only; 105 named firms</t>
  </si>
  <si>
    <t>External outflow/year (realistic)</t>
  </si>
  <si>
    <t>$750-900M</t>
  </si>
  <si>
    <t>~$4,200/HH/mo external × 15k × 12</t>
  </si>
  <si>
    <t>Internal MOND flow/year</t>
  </si>
  <si>
    <t>$125M</t>
  </si>
  <si>
    <t>15k × $700/HH/mo internal × 12</t>
  </si>
  <si>
    <t>UBI per citizen per month</t>
  </si>
  <si>
    <t>100 MOND</t>
  </si>
  <si>
    <t>Default in maryfontaine config</t>
  </si>
  <si>
    <t>UBI obligation/year (full pop)</t>
  </si>
  <si>
    <t>36M MOND</t>
  </si>
  <si>
    <t>100 × 30k adults × 12; children get fractional</t>
  </si>
  <si>
    <t>Fisc reserve at founding</t>
  </si>
  <si>
    <t>$1.75B</t>
  </si>
  <si>
    <t>Backs the peg; cover ratio target 0.30</t>
  </si>
  <si>
    <t>Fisc rate at founding</t>
  </si>
  <si>
    <t>$35/MOND</t>
  </si>
  <si>
    <t>At parity, basket of $980 = 28 MOND</t>
  </si>
  <si>
    <t>name</t>
  </si>
  <si>
    <t>sector</t>
  </si>
  <si>
    <t>employees</t>
  </si>
  <si>
    <t>annual_profit_per_emp_usd</t>
  </si>
  <si>
    <t>annual_profit_total_usd</t>
  </si>
  <si>
    <t>annual_rev_to_maryfontaine_usd</t>
  </si>
  <si>
    <t>maryfontaine_share_of_firm_profit_pct</t>
  </si>
  <si>
    <t>Cargill</t>
  </si>
  <si>
    <t>agriculture</t>
  </si>
  <si>
    <t>ADM (Archer Daniels Midland)</t>
  </si>
  <si>
    <t>OhioFarmersUnion</t>
  </si>
  <si>
    <t>agriculture_local</t>
  </si>
  <si>
    <t>DataBricks</t>
  </si>
  <si>
    <t>ai_software</t>
  </si>
  <si>
    <t>Palantir</t>
  </si>
  <si>
    <t>OpenAI</t>
  </si>
  <si>
    <t>Anthropic</t>
  </si>
  <si>
    <t>AIInfraCloud</t>
  </si>
  <si>
    <t>AutomatedSaaSCo</t>
  </si>
  <si>
    <t>CursorAI</t>
  </si>
  <si>
    <t>Stellantis</t>
  </si>
  <si>
    <t>auto_mfg</t>
  </si>
  <si>
    <t>Honda Motor Co</t>
  </si>
  <si>
    <t>Ford</t>
  </si>
  <si>
    <t>General Motors</t>
  </si>
  <si>
    <t>Toyota North America</t>
  </si>
  <si>
    <t>Siemens Industrial</t>
  </si>
  <si>
    <t>automated_mfg</t>
  </si>
  <si>
    <t>Tesla</t>
  </si>
  <si>
    <t>FoxconnUS</t>
  </si>
  <si>
    <t>RoboticsCorp</t>
  </si>
  <si>
    <t>Walmart</t>
  </si>
  <si>
    <t>big_retail</t>
  </si>
  <si>
    <t>HomeDepot</t>
  </si>
  <si>
    <t>Target</t>
  </si>
  <si>
    <t>Kroger</t>
  </si>
  <si>
    <t>Walgreens</t>
  </si>
  <si>
    <t>Costco</t>
  </si>
  <si>
    <t>Lowe's</t>
  </si>
  <si>
    <t>CVS Pharmacy</t>
  </si>
  <si>
    <t>Best Buy</t>
  </si>
  <si>
    <t>Amazon</t>
  </si>
  <si>
    <t>big_tech</t>
  </si>
  <si>
    <t>Microsoft</t>
  </si>
  <si>
    <t>Google</t>
  </si>
  <si>
    <t>Apple</t>
  </si>
  <si>
    <t>Meta</t>
  </si>
  <si>
    <t>NVIDIA</t>
  </si>
  <si>
    <t>OhioBuildersAssoc</t>
  </si>
  <si>
    <t>construction_local</t>
  </si>
  <si>
    <t>MidwestRoofingCo</t>
  </si>
  <si>
    <t>D.R. Horton</t>
  </si>
  <si>
    <t>construction_national</t>
  </si>
  <si>
    <t>Lennar</t>
  </si>
  <si>
    <t>RTX Corp</t>
  </si>
  <si>
    <t>defence</t>
  </si>
  <si>
    <t>Lockheed Martin</t>
  </si>
  <si>
    <t>OnlineUniversityCo</t>
  </si>
  <si>
    <t>ed_online</t>
  </si>
  <si>
    <t>Coursera</t>
  </si>
  <si>
    <t>ExxonMobil</t>
  </si>
  <si>
    <t>energy</t>
  </si>
  <si>
    <t>Chevron</t>
  </si>
  <si>
    <t>Marathon Petroleum</t>
  </si>
  <si>
    <t>JPMorgan Chase</t>
  </si>
  <si>
    <t>financial</t>
  </si>
  <si>
    <t>Wells Fargo</t>
  </si>
  <si>
    <t>Bank of America</t>
  </si>
  <si>
    <t>Goldman Sachs</t>
  </si>
  <si>
    <t>Charles Schwab</t>
  </si>
  <si>
    <t>Mastercard</t>
  </si>
  <si>
    <t>Visa</t>
  </si>
  <si>
    <t>RegionalBankOH</t>
  </si>
  <si>
    <t>StateOfOhio</t>
  </si>
  <si>
    <t>gov_services</t>
  </si>
  <si>
    <t>FederalServicesCo</t>
  </si>
  <si>
    <t>UnitedHealth</t>
  </si>
  <si>
    <t>healthcare_insurance</t>
  </si>
  <si>
    <t>AnthemBlue</t>
  </si>
  <si>
    <t>CVS Caremark</t>
  </si>
  <si>
    <t>HCA Healthcare</t>
  </si>
  <si>
    <t>healthcare_provider</t>
  </si>
  <si>
    <t>ClevelandClinic</t>
  </si>
  <si>
    <t>OhioHealth</t>
  </si>
  <si>
    <t>Marriott International</t>
  </si>
  <si>
    <t>hospitality</t>
  </si>
  <si>
    <t>Hilton</t>
  </si>
  <si>
    <t>Airbnb</t>
  </si>
  <si>
    <t>OhioStateInn</t>
  </si>
  <si>
    <t>State Farm</t>
  </si>
  <si>
    <t>insurance</t>
  </si>
  <si>
    <t>Progressive</t>
  </si>
  <si>
    <t>Allstate</t>
  </si>
  <si>
    <t>Nationwide</t>
  </si>
  <si>
    <t>FedEx</t>
  </si>
  <si>
    <t>logistics</t>
  </si>
  <si>
    <t>UPS</t>
  </si>
  <si>
    <t>XPO Logistics</t>
  </si>
  <si>
    <t>Uber</t>
  </si>
  <si>
    <t>Lyft</t>
  </si>
  <si>
    <t>OhioTrucking</t>
  </si>
  <si>
    <t>Disney</t>
  </si>
  <si>
    <t>media</t>
  </si>
  <si>
    <t>Netflix</t>
  </si>
  <si>
    <t>Spotify</t>
  </si>
  <si>
    <t>Johnson &amp; Johnson</t>
  </si>
  <si>
    <t>pharma</t>
  </si>
  <si>
    <t>Pfizer</t>
  </si>
  <si>
    <t>Merck</t>
  </si>
  <si>
    <t>AbbVie</t>
  </si>
  <si>
    <t>Eli Lilly</t>
  </si>
  <si>
    <t>Subway</t>
  </si>
  <si>
    <t>restaurant_chain</t>
  </si>
  <si>
    <t>Starbucks</t>
  </si>
  <si>
    <t>McDonald's</t>
  </si>
  <si>
    <t>Chipotle</t>
  </si>
  <si>
    <t>Cracker Barrel</t>
  </si>
  <si>
    <t>Wendy's</t>
  </si>
  <si>
    <t>Oracle</t>
  </si>
  <si>
    <t>software</t>
  </si>
  <si>
    <t>Salesforce</t>
  </si>
  <si>
    <t>Adobe</t>
  </si>
  <si>
    <t>Intuit</t>
  </si>
  <si>
    <t>Cisco</t>
  </si>
  <si>
    <t>telecom_equip</t>
  </si>
  <si>
    <t>Qualcomm</t>
  </si>
  <si>
    <t>Caterpillar</t>
  </si>
  <si>
    <t>traditional_mfg</t>
  </si>
  <si>
    <t>Deere &amp; Company</t>
  </si>
  <si>
    <t>MidwestSteelWorks</t>
  </si>
  <si>
    <t>OhioFabricationCo</t>
  </si>
  <si>
    <t>Comcast</t>
  </si>
  <si>
    <t>utility</t>
  </si>
  <si>
    <t>AT&amp;T</t>
  </si>
  <si>
    <t>Verizon</t>
  </si>
  <si>
    <t>Duke Energy</t>
  </si>
  <si>
    <t>AEP Ohio</t>
  </si>
  <si>
    <t>Columbia Gas</t>
  </si>
  <si>
    <t>n_named_firms</t>
  </si>
  <si>
    <t>sum_employees</t>
  </si>
  <si>
    <t>sum_firm_profit_usd</t>
  </si>
  <si>
    <t>sum_rev_to_maryfontaine_usd</t>
  </si>
  <si>
    <t>avg_profit_per_emp_usd</t>
  </si>
  <si>
    <t>txs_per_HH_per_month</t>
  </si>
  <si>
    <t>typical_$_per_tx</t>
  </si>
  <si>
    <t>n_long_tail_firms_est</t>
  </si>
  <si>
    <t>n_total_firms_est</t>
  </si>
  <si>
    <t>total_colony_txs_per_month</t>
  </si>
  <si>
    <t>avg_txs_per_firm_per_month</t>
  </si>
  <si>
    <t>monthly_revenue_per_firm_avg_usd</t>
  </si>
  <si>
    <t>grocery</t>
  </si>
  <si>
    <t>restaurant</t>
  </si>
  <si>
    <t>retail_online</t>
  </si>
  <si>
    <t>retail_offline</t>
  </si>
  <si>
    <t>transport</t>
  </si>
  <si>
    <t>healthcare</t>
  </si>
  <si>
    <t>entertainment</t>
  </si>
  <si>
    <t>professional</t>
  </si>
  <si>
    <t>handmade</t>
  </si>
  <si>
    <t>misc</t>
  </si>
  <si>
    <t>profit_per_emp_usd</t>
  </si>
  <si>
    <t>mpc_at_5pct_flat_usd</t>
  </si>
  <si>
    <t>progressive_rate_pct_capped25</t>
  </si>
  <si>
    <t>mpc_progressive_usd</t>
  </si>
  <si>
    <t>category</t>
  </si>
  <si>
    <t>share_pct_2026</t>
  </si>
  <si>
    <t>usd_per_month_2026</t>
  </si>
  <si>
    <t>usd_per_year_2026</t>
  </si>
  <si>
    <t>annual_change_pct</t>
  </si>
  <si>
    <t>floor_pct</t>
  </si>
  <si>
    <t>rationale</t>
  </si>
  <si>
    <t>Food (processed)</t>
  </si>
  <si>
    <t>Vertical farms + automated logistics + lab meat. BLS food avg ~+2%/yr offset by ~3%/yr automation.</t>
  </si>
  <si>
    <t>Food (fresh)</t>
  </si>
  <si>
    <t>Land-bound, slower automation. Net mild inflation continues.</t>
  </si>
  <si>
    <t>Energy &amp; utilities</t>
  </si>
  <si>
    <t>Solar 20%/doubling, batteries 18-35%/doubling Wright curves. Aggressive deflation.</t>
  </si>
  <si>
    <t>Transport</t>
  </si>
  <si>
    <t>EV cost decline + autonomous removes driver. Vehicle still has materials cost.</t>
  </si>
  <si>
    <t>Healthcare</t>
  </si>
  <si>
    <t>AI offsets historical +4.5%/yr but aging demographics keep mildly positive.</t>
  </si>
  <si>
    <t>Education</t>
  </si>
  <si>
    <t>AI tutors deflate content delivery; networking/credentialing value sticky.</t>
  </si>
  <si>
    <t>Services (hospitality)</t>
  </si>
  <si>
    <t>Slowest to automate — physical presence + emotional labour. Premium prices.</t>
  </si>
  <si>
    <t>Apparel &amp; manufactured</t>
  </si>
  <si>
    <t>BLS apparel already deflating (-0.5%/yr early 2026). AI accelerates.</t>
  </si>
  <si>
    <t>Digital/electronics</t>
  </si>
  <si>
    <t>BLS computers -16%/yr historical. Approaches near-zero marginal cost.</t>
  </si>
  <si>
    <t>Housing — STRUCTURE</t>
  </si>
  <si>
    <t>Construction automatable (3D printing, modular, robotic). Materials cost remains. LAND deferred.</t>
  </si>
  <si>
    <t>year</t>
  </si>
  <si>
    <t>cal_year</t>
  </si>
  <si>
    <t>aggregate_basket_factor</t>
  </si>
  <si>
    <t>basket_usd_per_month</t>
  </si>
  <si>
    <t>Food (processed)__usd_per_month</t>
  </si>
  <si>
    <t>Food (fresh)__usd_per_month</t>
  </si>
  <si>
    <t>Energy &amp; utilities__usd_per_month</t>
  </si>
  <si>
    <t>Transport__usd_per_month</t>
  </si>
  <si>
    <t>Healthcare__usd_per_month</t>
  </si>
  <si>
    <t>Education__usd_per_month</t>
  </si>
  <si>
    <t>Services (hospitality)__usd_per_month</t>
  </si>
  <si>
    <t>Apparel &amp; manufactured__usd_per_month</t>
  </si>
  <si>
    <t>Digital/electronics__usd_per_month</t>
  </si>
  <si>
    <t>Housing — STRUCTURE__usd_per_month</t>
  </si>
  <si>
    <t>Total basket cost per year</t>
  </si>
  <si>
    <t>Total adults</t>
  </si>
  <si>
    <t>Total kids</t>
  </si>
  <si>
    <t>Total UBI</t>
  </si>
  <si>
    <t>Total external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</si>
</sst>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8" formatCode="_-[$$-409]* #,##0_ ;_-[$$-409]* \-#,##0\ ;_-[$$-409]* &quot;-&quot;??_ ;_-@_ "/>
    <numFmt numFmtId="174" formatCode="_-[$$-409]* #,##0_ ;_-[$$-409]* \-#,##0\ ;_-[$$-409]* &quot;-&quot;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168" fontId="0" fillId="0" borderId="0" xfId="0" applyNumberFormat="1"/>
    <xf numFmtId="168" fontId="0" fillId="0" borderId="0" xfId="1" applyNumberFormat="1" applyFont="1"/>
    <xf numFmtId="174" fontId="0" fillId="0" borderId="0" xfId="0" applyNumberFormat="1"/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15">
    <dxf>
      <numFmt numFmtId="168" formatCode="_-[$$-409]* #,##0_ ;_-[$$-409]* \-#,##0\ ;_-[$$-409]* &quot;-&quot;??_ ;_-@_ "/>
    </dxf>
    <dxf>
      <numFmt numFmtId="0" formatCode="General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F337D0D-E219-4726-B25B-2C172BCF3667}" autoFormatId="16" applyNumberFormats="0" applyBorderFormats="0" applyFontFormats="0" applyPatternFormats="0" applyAlignmentFormats="0" applyWidthHeightFormats="0">
  <queryTableRefresh nextId="15">
    <queryTableFields count="14">
      <queryTableField id="1" name="year" tableColumnId="1"/>
      <queryTableField id="2" name="cal_year" tableColumnId="2"/>
      <queryTableField id="3" name="aggregate_basket_factor" tableColumnId="3"/>
      <queryTableField id="4" name="basket_usd_per_month" tableColumnId="4"/>
      <queryTableField id="5" name="Food (processed)__usd_per_month" tableColumnId="5"/>
      <queryTableField id="6" name="Food (fresh)__usd_per_month" tableColumnId="6"/>
      <queryTableField id="7" name="Energy &amp; utilities__usd_per_month" tableColumnId="7"/>
      <queryTableField id="8" name="Transport__usd_per_month" tableColumnId="8"/>
      <queryTableField id="9" name="Healthcare__usd_per_month" tableColumnId="9"/>
      <queryTableField id="10" name="Education__usd_per_month" tableColumnId="10"/>
      <queryTableField id="11" name="Services (hospitality)__usd_per_month" tableColumnId="11"/>
      <queryTableField id="12" name="Apparel &amp; manufactured__usd_per_month" tableColumnId="12"/>
      <queryTableField id="13" name="Digital/electronics__usd_per_month" tableColumnId="13"/>
      <queryTableField id="14" name="Housing — STRUCTURE__usd_per_month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4C29671-E04B-453A-B423-6DF76CD1AD91}" autoFormatId="16" applyNumberFormats="0" applyBorderFormats="0" applyFontFormats="0" applyPatternFormats="0" applyAlignmentFormats="0" applyWidthHeightFormats="0">
  <queryTableRefresh nextId="8">
    <queryTableFields count="7">
      <queryTableField id="1" name="category" tableColumnId="1"/>
      <queryTableField id="2" name="share_pct_2026" tableColumnId="2"/>
      <queryTableField id="3" name="usd_per_month_2026" tableColumnId="3"/>
      <queryTableField id="4" name="usd_per_year_2026" tableColumnId="4"/>
      <queryTableField id="5" name="annual_change_pct" tableColumnId="5"/>
      <queryTableField id="6" name="floor_pct" tableColumnId="6"/>
      <queryTableField id="7" name="rational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EB5C843-31C1-408B-BF80-6DFC1CD0772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5345808-37E1-47BB-A9CE-8A229D72B6C4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sector" tableColumnId="2"/>
      <queryTableField id="3" name="employees" tableColumnId="3"/>
      <queryTableField id="4" name="annual_profit_per_emp_usd" tableColumnId="4"/>
      <queryTableField id="5" name="annual_profit_total_usd" tableColumnId="5"/>
      <queryTableField id="6" name="annual_rev_to_maryfontaine_usd" tableColumnId="6"/>
      <queryTableField id="7" name="maryfontaine_share_of_firm_profit_pct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9006685-F788-41AC-891E-BF0E20960F49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sector" tableColumnId="2"/>
      <queryTableField id="3" name="employees" tableColumnId="3"/>
      <queryTableField id="4" name="profit_per_emp_usd" tableColumnId="4"/>
      <queryTableField id="5" name="annual_rev_to_maryfontaine_usd" tableColumnId="5"/>
      <queryTableField id="6" name="mpc_at_5pct_flat_usd" tableColumnId="6"/>
      <queryTableField id="7" name="progressive_rate_pct_capped25" tableColumnId="7"/>
      <queryTableField id="8" name="mpc_progressive_usd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1E5877A6-E7D9-4291-B775-78FAC5318E96}" autoFormatId="16" applyNumberFormats="0" applyBorderFormats="0" applyFontFormats="0" applyPatternFormats="0" applyAlignmentFormats="0" applyWidthHeightFormats="0">
  <queryTableRefresh nextId="10">
    <queryTableFields count="9">
      <queryTableField id="1" name="sector" tableColumnId="1"/>
      <queryTableField id="2" name="txs_per_HH_per_month" tableColumnId="2"/>
      <queryTableField id="3" name="typical_$_per_tx" tableColumnId="3"/>
      <queryTableField id="4" name="n_named_firms" tableColumnId="4"/>
      <queryTableField id="5" name="n_long_tail_firms_est" tableColumnId="5"/>
      <queryTableField id="6" name="n_total_firms_est" tableColumnId="6"/>
      <queryTableField id="7" name="total_colony_txs_per_month" tableColumnId="7"/>
      <queryTableField id="8" name="avg_txs_per_firm_per_month" tableColumnId="8"/>
      <queryTableField id="9" name="monthly_revenue_per_firm_avg_usd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0F349E-F5BC-454A-949A-564094A2377F}" autoFormatId="16" applyNumberFormats="0" applyBorderFormats="0" applyFontFormats="0" applyPatternFormats="0" applyAlignmentFormats="0" applyWidthHeightFormats="0">
  <queryTableRefresh nextId="7">
    <queryTableFields count="6">
      <queryTableField id="1" name="sector" tableColumnId="1"/>
      <queryTableField id="2" name="n_named_firms" tableColumnId="2"/>
      <queryTableField id="3" name="sum_employees" tableColumnId="3"/>
      <queryTableField id="4" name="sum_firm_profit_usd" tableColumnId="4"/>
      <queryTableField id="5" name="sum_rev_to_maryfontaine_usd" tableColumnId="5"/>
      <queryTableField id="6" name="avg_profit_per_emp_us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8E3ADF-33E9-4ADF-9C5B-72E965720A65}" name="basket_trajectory" displayName="basket_trajectory" ref="A1:N27" tableType="queryTable" totalsRowShown="0">
  <autoFilter ref="A1:N27" xr:uid="{408E3ADF-33E9-4ADF-9C5B-72E965720A65}"/>
  <tableColumns count="14">
    <tableColumn id="1" xr3:uid="{9A02E1C3-9E7D-4057-B4D9-7E30E9F7EDC0}" uniqueName="1" name="year" queryTableFieldId="1"/>
    <tableColumn id="2" xr3:uid="{1694430D-9B6C-4A45-896E-0C78C9C53DAF}" uniqueName="2" name="cal_year" queryTableFieldId="2"/>
    <tableColumn id="3" xr3:uid="{8D01608E-4BED-4AB7-986D-910720F4CCE2}" uniqueName="3" name="aggregate_basket_factor" queryTableFieldId="3"/>
    <tableColumn id="4" xr3:uid="{0A1A878A-FF7A-49AC-8309-CA2BC05E1DFA}" uniqueName="4" name="basket_usd_per_month" queryTableFieldId="4"/>
    <tableColumn id="5" xr3:uid="{04E39939-A4DB-438E-8504-5C8649CA767F}" uniqueName="5" name="Food (processed)__usd_per_month" queryTableFieldId="5"/>
    <tableColumn id="6" xr3:uid="{5ECFC0FD-B22E-4E4E-A70A-5622ED55D778}" uniqueName="6" name="Food (fresh)__usd_per_month" queryTableFieldId="6"/>
    <tableColumn id="7" xr3:uid="{BACBF81C-AA88-46A8-A235-704E7F497D58}" uniqueName="7" name="Energy &amp; utilities__usd_per_month" queryTableFieldId="7"/>
    <tableColumn id="8" xr3:uid="{A2CAD979-DEB2-4A79-A5B6-74E84A9088D6}" uniqueName="8" name="Transport__usd_per_month" queryTableFieldId="8"/>
    <tableColumn id="9" xr3:uid="{1CB769C0-5EC2-4FB9-957D-B8DD56CE5EC4}" uniqueName="9" name="Healthcare__usd_per_month" queryTableFieldId="9"/>
    <tableColumn id="10" xr3:uid="{89A03474-EBFC-4BB2-91F5-271DA93D6D22}" uniqueName="10" name="Education__usd_per_month" queryTableFieldId="10"/>
    <tableColumn id="11" xr3:uid="{1ACC73F9-7D8B-46C4-AC22-DFC4C26D99E2}" uniqueName="11" name="Services (hospitality)__usd_per_month" queryTableFieldId="11"/>
    <tableColumn id="12" xr3:uid="{15406FC3-FE30-47C5-82CF-1955C059DF3B}" uniqueName="12" name="Apparel &amp; manufactured__usd_per_month" queryTableFieldId="12"/>
    <tableColumn id="13" xr3:uid="{D137169F-E5B2-4DFC-884C-267B285BB620}" uniqueName="13" name="Digital/electronics__usd_per_month" queryTableFieldId="13"/>
    <tableColumn id="14" xr3:uid="{3CD11369-BCD4-4324-B516-467A98AFAA69}" uniqueName="14" name="Housing — STRUCTURE__usd_per_month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46DF02-81F7-4B3C-88E1-FAC3D7686CFC}" name="basket_composition" displayName="basket_composition" ref="A1:G11" tableType="queryTable" totalsRowShown="0">
  <autoFilter ref="A1:G11" xr:uid="{2C46DF02-81F7-4B3C-88E1-FAC3D7686CFC}"/>
  <tableColumns count="7">
    <tableColumn id="1" xr3:uid="{35C11E39-8C2C-4C84-AABC-531B4C7CC3B1}" uniqueName="1" name="category" queryTableFieldId="1" dataDxfId="5"/>
    <tableColumn id="2" xr3:uid="{5B9CE2EA-ECD8-4F81-9B42-A38CD5091A57}" uniqueName="2" name="share_pct_2026" queryTableFieldId="2"/>
    <tableColumn id="3" xr3:uid="{91D088ED-BB61-4654-8E9F-DF32842C12EF}" uniqueName="3" name="usd_per_month_2026" queryTableFieldId="3"/>
    <tableColumn id="4" xr3:uid="{16E40309-473A-4C28-9AE9-42080D05DBD2}" uniqueName="4" name="usd_per_year_2026" queryTableFieldId="4"/>
    <tableColumn id="5" xr3:uid="{BD43C3D1-6C7C-46C9-8410-5532EF4CED60}" uniqueName="5" name="annual_change_pct" queryTableFieldId="5"/>
    <tableColumn id="6" xr3:uid="{9262D9C8-8158-4C63-A03C-9B46714FBE5F}" uniqueName="6" name="floor_pct" queryTableFieldId="6"/>
    <tableColumn id="7" xr3:uid="{32273023-EDA9-4497-9F33-E1B75022A940}" uniqueName="7" name="rationale" queryTableFieldId="7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842D2-A4C9-4F46-97EC-B629502798A5}" name="maryfontaine_headlines" displayName="maryfontaine_headlines" ref="A1:C27" tableType="queryTable" totalsRowShown="0">
  <autoFilter ref="A1:C27" xr:uid="{488842D2-A4C9-4F46-97EC-B629502798A5}"/>
  <tableColumns count="3">
    <tableColumn id="1" xr3:uid="{14080FE1-A71A-4C79-AEFF-3CC55EF81E84}" uniqueName="1" name="Column1" queryTableFieldId="1" dataDxfId="14"/>
    <tableColumn id="2" xr3:uid="{F57EFB5E-7622-4FAF-91A0-74F5F8B1CC30}" uniqueName="2" name="Column2" queryTableFieldId="2" dataDxfId="13"/>
    <tableColumn id="3" xr3:uid="{F6C43567-B29C-403B-A44E-DE9C4D7E749B}" uniqueName="3" name="Column3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7BEE7C-240C-4D6E-B3A0-D9BD2F3B904D}" name="external_companies" displayName="external_companies" ref="A1:G106" tableType="queryTable" totalsRowShown="0">
  <autoFilter ref="A1:G106" xr:uid="{147BEE7C-240C-4D6E-B3A0-D9BD2F3B904D}"/>
  <tableColumns count="7">
    <tableColumn id="1" xr3:uid="{EAE9BBF9-788A-44BD-929E-C6A48A3A8593}" uniqueName="1" name="name" queryTableFieldId="1" dataDxfId="11"/>
    <tableColumn id="2" xr3:uid="{EA7DC9BB-59F8-4A09-A937-F7869EC7D280}" uniqueName="2" name="sector" queryTableFieldId="2" dataDxfId="10"/>
    <tableColumn id="3" xr3:uid="{186524D1-19CE-4277-AF9B-9E8A64999649}" uniqueName="3" name="employees" queryTableFieldId="3"/>
    <tableColumn id="4" xr3:uid="{E8AE1141-0904-4C1D-9FE9-948269403465}" uniqueName="4" name="annual_profit_per_emp_usd" queryTableFieldId="4" dataDxfId="3"/>
    <tableColumn id="5" xr3:uid="{1FBE3A86-22A0-452A-BEA6-C84A05908F98}" uniqueName="5" name="annual_profit_total_usd" queryTableFieldId="5" dataDxfId="2"/>
    <tableColumn id="6" xr3:uid="{970D7B70-FD0C-4E65-B531-C219E4AE1FD8}" uniqueName="6" name="annual_rev_to_maryfontaine_usd" queryTableFieldId="6" dataDxfId="0"/>
    <tableColumn id="7" xr3:uid="{56C041FD-21FD-4BA7-97A7-18AE1C73EFB8}" uniqueName="7" name="maryfontaine_share_of_firm_profit_pct" queryTableFieldId="7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FFCE4D-84D5-4FF5-88C2-38FCB097804D}" name="mpc_calc_per_company" displayName="mpc_calc_per_company" ref="A1:H106" tableType="queryTable" totalsRowShown="0">
  <autoFilter ref="A1:H106" xr:uid="{98FFCE4D-84D5-4FF5-88C2-38FCB097804D}"/>
  <tableColumns count="8">
    <tableColumn id="1" xr3:uid="{CDC5A625-C2F7-4C41-9128-901576A0E22C}" uniqueName="1" name="name" queryTableFieldId="1" dataDxfId="7"/>
    <tableColumn id="2" xr3:uid="{99EC8998-F246-49E0-91CB-FF856059B02A}" uniqueName="2" name="sector" queryTableFieldId="2" dataDxfId="6"/>
    <tableColumn id="3" xr3:uid="{52FCE066-670A-4E28-AD38-C33A3622DA82}" uniqueName="3" name="employees" queryTableFieldId="3"/>
    <tableColumn id="4" xr3:uid="{32E0A9E4-2D26-4A29-9011-4CFF850F011F}" uniqueName="4" name="profit_per_emp_usd" queryTableFieldId="4"/>
    <tableColumn id="5" xr3:uid="{92D952B1-B79E-4B84-8EB2-D9CB13FF9B3C}" uniqueName="5" name="annual_rev_to_maryfontaine_usd" queryTableFieldId="5"/>
    <tableColumn id="6" xr3:uid="{A5F8E21B-06EC-4B28-8BE8-9961CA0CB658}" uniqueName="6" name="mpc_at_5pct_flat_usd" queryTableFieldId="6"/>
    <tableColumn id="7" xr3:uid="{6336F456-5CEE-4807-AB2E-98D4D6BC7766}" uniqueName="7" name="progressive_rate_pct_capped25" queryTableFieldId="7"/>
    <tableColumn id="8" xr3:uid="{B7A5A32B-8BB3-427A-ACD1-918DEE8E57E3}" uniqueName="8" name="mpc_progressive_usd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BE3AC5-505B-4BBD-9FC6-98953826BEAB}" name="transactions_per_business" displayName="transactions_per_business" ref="A1:I16" tableType="queryTable" totalsRowShown="0">
  <autoFilter ref="A1:I16" xr:uid="{51BE3AC5-505B-4BBD-9FC6-98953826BEAB}"/>
  <tableColumns count="9">
    <tableColumn id="1" xr3:uid="{C50B0C2F-C0BF-4C8C-B8AF-790EC9A6F72A}" uniqueName="1" name="sector" queryTableFieldId="1" dataDxfId="8"/>
    <tableColumn id="2" xr3:uid="{1681F68A-7569-40A2-B565-B75556E29814}" uniqueName="2" name="txs_per_HH_per_month" queryTableFieldId="2"/>
    <tableColumn id="3" xr3:uid="{3FD16AF3-1ED5-42A1-BC94-EF709343AB07}" uniqueName="3" name="typical_$_per_tx" queryTableFieldId="3"/>
    <tableColumn id="4" xr3:uid="{856BC1AC-23A5-4F3E-B49B-790C7D4453CF}" uniqueName="4" name="n_named_firms" queryTableFieldId="4"/>
    <tableColumn id="5" xr3:uid="{6D09BD49-115C-49A3-B51C-2A56523DC246}" uniqueName="5" name="n_long_tail_firms_est" queryTableFieldId="5"/>
    <tableColumn id="6" xr3:uid="{3520D363-991B-4D8D-A47D-DBCC2CCF2595}" uniqueName="6" name="n_total_firms_est" queryTableFieldId="6"/>
    <tableColumn id="7" xr3:uid="{CB1D6C35-2D1D-4418-AF05-40D93F559FB2}" uniqueName="7" name="total_colony_txs_per_month" queryTableFieldId="7"/>
    <tableColumn id="8" xr3:uid="{C98F9ED4-6037-4D38-8ADB-3D907330230E}" uniqueName="8" name="avg_txs_per_firm_per_month" queryTableFieldId="8"/>
    <tableColumn id="9" xr3:uid="{E15BD2E9-83B2-4FD7-ABB0-791C0114781A}" uniqueName="9" name="monthly_revenue_per_firm_avg_usd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44CFE6-088F-4DBB-95C7-3ED3CE9482E8}" name="external_by_sector" displayName="external_by_sector" ref="A1:F27" tableType="queryTable" totalsRowShown="0">
  <autoFilter ref="A1:F27" xr:uid="{4B44CFE6-088F-4DBB-95C7-3ED3CE9482E8}"/>
  <tableColumns count="6">
    <tableColumn id="1" xr3:uid="{EDD76EE7-3281-4ACA-B2F5-E0657B2AFA4D}" uniqueName="1" name="sector" queryTableFieldId="1" dataDxfId="9"/>
    <tableColumn id="2" xr3:uid="{2C3C8A38-5328-45A5-8D08-0C6895A8599C}" uniqueName="2" name="n_named_firms" queryTableFieldId="2"/>
    <tableColumn id="3" xr3:uid="{08BC4612-64FC-4541-9753-3796F63D027A}" uniqueName="3" name="sum_employees" queryTableFieldId="3"/>
    <tableColumn id="4" xr3:uid="{65711A3F-FEE1-4A7F-8340-FCD68EC67210}" uniqueName="4" name="sum_firm_profit_usd" queryTableFieldId="4"/>
    <tableColumn id="5" xr3:uid="{806B7414-2DD9-4BAD-B4F6-C583AF0FB87C}" uniqueName="5" name="sum_rev_to_maryfontaine_usd" queryTableFieldId="5"/>
    <tableColumn id="6" xr3:uid="{76245FE6-9584-4EC6-A282-0591F7507E3A}" uniqueName="6" name="avg_profit_per_emp_us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7698-2943-4731-803B-1F668C0F973A}">
  <dimension ref="B3:E8"/>
  <sheetViews>
    <sheetView workbookViewId="0">
      <selection activeCell="E9" sqref="E9"/>
    </sheetView>
  </sheetViews>
  <sheetFormatPr defaultRowHeight="14.4" x14ac:dyDescent="0.3"/>
  <cols>
    <col min="5" max="5" width="14.6640625" bestFit="1" customWidth="1"/>
  </cols>
  <sheetData>
    <row r="3" spans="2:5" x14ac:dyDescent="0.3">
      <c r="B3" t="s">
        <v>274</v>
      </c>
      <c r="E3" s="3">
        <f>SUM(basket_composition[usd_per_year_2026])</f>
        <v>11760</v>
      </c>
    </row>
    <row r="4" spans="2:5" x14ac:dyDescent="0.3">
      <c r="B4" t="s">
        <v>275</v>
      </c>
      <c r="E4" s="5" t="str">
        <f>maryfontaine_headlines!B5</f>
        <v>30,000</v>
      </c>
    </row>
    <row r="5" spans="2:5" x14ac:dyDescent="0.3">
      <c r="B5" t="s">
        <v>276</v>
      </c>
      <c r="E5" s="5" t="str">
        <f>maryfontaine_headlines!B6</f>
        <v>9,000</v>
      </c>
    </row>
    <row r="6" spans="2:5" x14ac:dyDescent="0.3">
      <c r="B6" t="s">
        <v>277</v>
      </c>
      <c r="E6" s="4">
        <f>E3*E4+(0.5* E3*E4)</f>
        <v>529200000</v>
      </c>
    </row>
    <row r="8" spans="2:5" x14ac:dyDescent="0.3">
      <c r="B8" t="s">
        <v>278</v>
      </c>
      <c r="E8" s="2">
        <f>SUM(external_companies[annual_rev_to_maryfontaine_usd])</f>
        <v>134631500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7396-68D6-4D3A-AD36-DE412E9A94FB}">
  <dimension ref="A1:N27"/>
  <sheetViews>
    <sheetView workbookViewId="0"/>
  </sheetViews>
  <sheetFormatPr defaultRowHeight="14.4" x14ac:dyDescent="0.3"/>
  <cols>
    <col min="1" max="1" width="6.88671875" bestFit="1" customWidth="1"/>
    <col min="2" max="2" width="10.21875" bestFit="1" customWidth="1"/>
    <col min="3" max="3" width="24.44140625" bestFit="1" customWidth="1"/>
    <col min="4" max="4" width="23.5546875" bestFit="1" customWidth="1"/>
    <col min="5" max="5" width="33.6640625" bestFit="1" customWidth="1"/>
    <col min="6" max="6" width="29.33203125" bestFit="1" customWidth="1"/>
    <col min="7" max="7" width="33.33203125" bestFit="1" customWidth="1"/>
    <col min="8" max="8" width="27.109375" bestFit="1" customWidth="1"/>
    <col min="9" max="9" width="28.109375" bestFit="1" customWidth="1"/>
    <col min="10" max="10" width="27.44140625" bestFit="1" customWidth="1"/>
    <col min="11" max="11" width="36.6640625" bestFit="1" customWidth="1"/>
    <col min="12" max="12" width="40.33203125" bestFit="1" customWidth="1"/>
    <col min="13" max="13" width="34.33203125" bestFit="1" customWidth="1"/>
    <col min="14" max="14" width="38.77734375" bestFit="1" customWidth="1"/>
  </cols>
  <sheetData>
    <row r="1" spans="1:14" x14ac:dyDescent="0.3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</row>
    <row r="2" spans="1:14" x14ac:dyDescent="0.3">
      <c r="A2">
        <v>0</v>
      </c>
      <c r="B2">
        <v>2026</v>
      </c>
      <c r="C2">
        <v>1</v>
      </c>
      <c r="D2">
        <v>980</v>
      </c>
      <c r="E2">
        <v>220</v>
      </c>
      <c r="F2">
        <v>74</v>
      </c>
      <c r="G2">
        <v>98</v>
      </c>
      <c r="H2">
        <v>98</v>
      </c>
      <c r="I2">
        <v>61</v>
      </c>
      <c r="J2">
        <v>37</v>
      </c>
      <c r="K2">
        <v>74</v>
      </c>
      <c r="L2">
        <v>86</v>
      </c>
      <c r="M2">
        <v>49</v>
      </c>
      <c r="N2">
        <v>184</v>
      </c>
    </row>
    <row r="3" spans="1:14" x14ac:dyDescent="0.3">
      <c r="A3">
        <v>1</v>
      </c>
      <c r="B3">
        <v>2027</v>
      </c>
      <c r="C3">
        <v>0.98199999999999998</v>
      </c>
      <c r="D3">
        <v>962</v>
      </c>
      <c r="E3">
        <v>218</v>
      </c>
      <c r="F3">
        <v>74</v>
      </c>
      <c r="G3">
        <v>93</v>
      </c>
      <c r="H3">
        <v>96</v>
      </c>
      <c r="I3">
        <v>62</v>
      </c>
      <c r="J3">
        <v>36</v>
      </c>
      <c r="K3">
        <v>75</v>
      </c>
      <c r="L3">
        <v>83</v>
      </c>
      <c r="M3">
        <v>44</v>
      </c>
      <c r="N3">
        <v>181</v>
      </c>
    </row>
    <row r="4" spans="1:14" x14ac:dyDescent="0.3">
      <c r="A4">
        <v>2</v>
      </c>
      <c r="B4">
        <v>2028</v>
      </c>
      <c r="C4">
        <v>0.96499999999999997</v>
      </c>
      <c r="D4">
        <v>946</v>
      </c>
      <c r="E4">
        <v>216</v>
      </c>
      <c r="F4">
        <v>75</v>
      </c>
      <c r="G4">
        <v>88</v>
      </c>
      <c r="H4">
        <v>93</v>
      </c>
      <c r="I4">
        <v>62</v>
      </c>
      <c r="J4">
        <v>36</v>
      </c>
      <c r="K4">
        <v>76</v>
      </c>
      <c r="L4">
        <v>81</v>
      </c>
      <c r="M4">
        <v>40</v>
      </c>
      <c r="N4">
        <v>178</v>
      </c>
    </row>
    <row r="5" spans="1:14" x14ac:dyDescent="0.3">
      <c r="A5">
        <v>3</v>
      </c>
      <c r="B5">
        <v>2029</v>
      </c>
      <c r="C5">
        <v>0.94889999999999997</v>
      </c>
      <c r="D5">
        <v>930</v>
      </c>
      <c r="E5">
        <v>214</v>
      </c>
      <c r="F5">
        <v>76</v>
      </c>
      <c r="G5">
        <v>84</v>
      </c>
      <c r="H5">
        <v>91</v>
      </c>
      <c r="I5">
        <v>62</v>
      </c>
      <c r="J5">
        <v>36</v>
      </c>
      <c r="K5">
        <v>78</v>
      </c>
      <c r="L5">
        <v>78</v>
      </c>
      <c r="M5">
        <v>36</v>
      </c>
      <c r="N5">
        <v>176</v>
      </c>
    </row>
    <row r="6" spans="1:14" x14ac:dyDescent="0.3">
      <c r="A6">
        <v>4</v>
      </c>
      <c r="B6">
        <v>2030</v>
      </c>
      <c r="C6">
        <v>0.93369999999999997</v>
      </c>
      <c r="D6">
        <v>915</v>
      </c>
      <c r="E6">
        <v>212</v>
      </c>
      <c r="F6">
        <v>76</v>
      </c>
      <c r="G6">
        <v>80</v>
      </c>
      <c r="H6">
        <v>89</v>
      </c>
      <c r="I6">
        <v>62</v>
      </c>
      <c r="J6">
        <v>35</v>
      </c>
      <c r="K6">
        <v>80</v>
      </c>
      <c r="L6">
        <v>76</v>
      </c>
      <c r="M6">
        <v>32</v>
      </c>
      <c r="N6">
        <v>173</v>
      </c>
    </row>
    <row r="7" spans="1:14" x14ac:dyDescent="0.3">
      <c r="A7">
        <v>5</v>
      </c>
      <c r="B7">
        <v>2031</v>
      </c>
      <c r="C7">
        <v>0.91930000000000001</v>
      </c>
      <c r="D7">
        <v>901</v>
      </c>
      <c r="E7">
        <v>210</v>
      </c>
      <c r="F7">
        <v>77</v>
      </c>
      <c r="G7">
        <v>76</v>
      </c>
      <c r="H7">
        <v>86</v>
      </c>
      <c r="I7">
        <v>63</v>
      </c>
      <c r="J7">
        <v>35</v>
      </c>
      <c r="K7">
        <v>81</v>
      </c>
      <c r="L7">
        <v>74</v>
      </c>
      <c r="M7">
        <v>29</v>
      </c>
      <c r="N7">
        <v>170</v>
      </c>
    </row>
    <row r="8" spans="1:14" x14ac:dyDescent="0.3">
      <c r="A8">
        <v>6</v>
      </c>
      <c r="B8">
        <v>2032</v>
      </c>
      <c r="C8">
        <v>0.90569999999999995</v>
      </c>
      <c r="D8">
        <v>888</v>
      </c>
      <c r="E8">
        <v>208</v>
      </c>
      <c r="F8">
        <v>78</v>
      </c>
      <c r="G8">
        <v>72</v>
      </c>
      <c r="H8">
        <v>84</v>
      </c>
      <c r="I8">
        <v>63</v>
      </c>
      <c r="J8">
        <v>35</v>
      </c>
      <c r="K8">
        <v>83</v>
      </c>
      <c r="L8">
        <v>71</v>
      </c>
      <c r="M8">
        <v>26</v>
      </c>
      <c r="N8">
        <v>168</v>
      </c>
    </row>
    <row r="9" spans="1:14" x14ac:dyDescent="0.3">
      <c r="A9">
        <v>7</v>
      </c>
      <c r="B9">
        <v>2033</v>
      </c>
      <c r="C9">
        <v>0.89280000000000004</v>
      </c>
      <c r="D9">
        <v>875</v>
      </c>
      <c r="E9">
        <v>206</v>
      </c>
      <c r="F9">
        <v>79</v>
      </c>
      <c r="G9">
        <v>68</v>
      </c>
      <c r="H9">
        <v>82</v>
      </c>
      <c r="I9">
        <v>63</v>
      </c>
      <c r="J9">
        <v>34</v>
      </c>
      <c r="K9">
        <v>84</v>
      </c>
      <c r="L9">
        <v>69</v>
      </c>
      <c r="M9">
        <v>23</v>
      </c>
      <c r="N9">
        <v>165</v>
      </c>
    </row>
    <row r="10" spans="1:14" x14ac:dyDescent="0.3">
      <c r="A10">
        <v>8</v>
      </c>
      <c r="B10">
        <v>2034</v>
      </c>
      <c r="C10">
        <v>0.88060000000000005</v>
      </c>
      <c r="D10">
        <v>863</v>
      </c>
      <c r="E10">
        <v>203</v>
      </c>
      <c r="F10">
        <v>80</v>
      </c>
      <c r="G10">
        <v>65</v>
      </c>
      <c r="H10">
        <v>80</v>
      </c>
      <c r="I10">
        <v>64</v>
      </c>
      <c r="J10">
        <v>34</v>
      </c>
      <c r="K10">
        <v>86</v>
      </c>
      <c r="L10">
        <v>67</v>
      </c>
      <c r="M10">
        <v>21</v>
      </c>
      <c r="N10">
        <v>163</v>
      </c>
    </row>
    <row r="11" spans="1:14" x14ac:dyDescent="0.3">
      <c r="A11">
        <v>9</v>
      </c>
      <c r="B11">
        <v>2035</v>
      </c>
      <c r="C11">
        <v>0.86899999999999999</v>
      </c>
      <c r="D11">
        <v>852</v>
      </c>
      <c r="E11">
        <v>201</v>
      </c>
      <c r="F11">
        <v>80</v>
      </c>
      <c r="G11">
        <v>62</v>
      </c>
      <c r="H11">
        <v>78</v>
      </c>
      <c r="I11">
        <v>64</v>
      </c>
      <c r="J11">
        <v>34</v>
      </c>
      <c r="K11">
        <v>88</v>
      </c>
      <c r="L11">
        <v>65</v>
      </c>
      <c r="M11">
        <v>19</v>
      </c>
      <c r="N11">
        <v>160</v>
      </c>
    </row>
    <row r="12" spans="1:14" x14ac:dyDescent="0.3">
      <c r="A12">
        <v>10</v>
      </c>
      <c r="B12">
        <v>2036</v>
      </c>
      <c r="C12">
        <v>0.85799999999999998</v>
      </c>
      <c r="D12">
        <v>841</v>
      </c>
      <c r="E12">
        <v>199</v>
      </c>
      <c r="F12">
        <v>81</v>
      </c>
      <c r="G12">
        <v>59</v>
      </c>
      <c r="H12">
        <v>76</v>
      </c>
      <c r="I12">
        <v>64</v>
      </c>
      <c r="J12">
        <v>33</v>
      </c>
      <c r="K12">
        <v>90</v>
      </c>
      <c r="L12">
        <v>63</v>
      </c>
      <c r="M12">
        <v>17</v>
      </c>
      <c r="N12">
        <v>158</v>
      </c>
    </row>
    <row r="13" spans="1:14" x14ac:dyDescent="0.3">
      <c r="A13">
        <v>11</v>
      </c>
      <c r="B13">
        <v>2037</v>
      </c>
      <c r="C13">
        <v>0.84760000000000002</v>
      </c>
      <c r="D13">
        <v>831</v>
      </c>
      <c r="E13">
        <v>197</v>
      </c>
      <c r="F13">
        <v>82</v>
      </c>
      <c r="G13">
        <v>56</v>
      </c>
      <c r="H13">
        <v>74</v>
      </c>
      <c r="I13">
        <v>65</v>
      </c>
      <c r="J13">
        <v>33</v>
      </c>
      <c r="K13">
        <v>91</v>
      </c>
      <c r="L13">
        <v>61</v>
      </c>
      <c r="M13">
        <v>15</v>
      </c>
      <c r="N13">
        <v>156</v>
      </c>
    </row>
    <row r="14" spans="1:14" x14ac:dyDescent="0.3">
      <c r="A14">
        <v>12</v>
      </c>
      <c r="B14">
        <v>2038</v>
      </c>
      <c r="C14">
        <v>0.8377</v>
      </c>
      <c r="D14">
        <v>821</v>
      </c>
      <c r="E14">
        <v>195</v>
      </c>
      <c r="F14">
        <v>83</v>
      </c>
      <c r="G14">
        <v>53</v>
      </c>
      <c r="H14">
        <v>72</v>
      </c>
      <c r="I14">
        <v>65</v>
      </c>
      <c r="J14">
        <v>33</v>
      </c>
      <c r="K14">
        <v>93</v>
      </c>
      <c r="L14">
        <v>59</v>
      </c>
      <c r="M14">
        <v>14</v>
      </c>
      <c r="N14">
        <v>153</v>
      </c>
    </row>
    <row r="15" spans="1:14" x14ac:dyDescent="0.3">
      <c r="A15">
        <v>13</v>
      </c>
      <c r="B15">
        <v>2039</v>
      </c>
      <c r="C15">
        <v>0.82840000000000003</v>
      </c>
      <c r="D15">
        <v>812</v>
      </c>
      <c r="E15">
        <v>193</v>
      </c>
      <c r="F15">
        <v>84</v>
      </c>
      <c r="G15">
        <v>50</v>
      </c>
      <c r="H15">
        <v>71</v>
      </c>
      <c r="I15">
        <v>65</v>
      </c>
      <c r="J15">
        <v>32</v>
      </c>
      <c r="K15">
        <v>95</v>
      </c>
      <c r="L15">
        <v>58</v>
      </c>
      <c r="M15">
        <v>12</v>
      </c>
      <c r="N15">
        <v>151</v>
      </c>
    </row>
    <row r="16" spans="1:14" x14ac:dyDescent="0.3">
      <c r="A16">
        <v>14</v>
      </c>
      <c r="B16">
        <v>2040</v>
      </c>
      <c r="C16">
        <v>0.81950000000000001</v>
      </c>
      <c r="D16">
        <v>803</v>
      </c>
      <c r="E16">
        <v>192</v>
      </c>
      <c r="F16">
        <v>84</v>
      </c>
      <c r="G16">
        <v>48</v>
      </c>
      <c r="H16">
        <v>69</v>
      </c>
      <c r="I16">
        <v>66</v>
      </c>
      <c r="J16">
        <v>32</v>
      </c>
      <c r="K16">
        <v>97</v>
      </c>
      <c r="L16">
        <v>56</v>
      </c>
      <c r="M16">
        <v>11</v>
      </c>
      <c r="N16">
        <v>149</v>
      </c>
    </row>
    <row r="17" spans="1:14" x14ac:dyDescent="0.3">
      <c r="A17">
        <v>15</v>
      </c>
      <c r="B17">
        <v>2041</v>
      </c>
      <c r="C17">
        <v>0.81100000000000005</v>
      </c>
      <c r="D17">
        <v>795</v>
      </c>
      <c r="E17">
        <v>190</v>
      </c>
      <c r="F17">
        <v>85</v>
      </c>
      <c r="G17">
        <v>45</v>
      </c>
      <c r="H17">
        <v>67</v>
      </c>
      <c r="I17">
        <v>66</v>
      </c>
      <c r="J17">
        <v>32</v>
      </c>
      <c r="K17">
        <v>99</v>
      </c>
      <c r="L17">
        <v>54</v>
      </c>
      <c r="M17">
        <v>10</v>
      </c>
      <c r="N17">
        <v>146</v>
      </c>
    </row>
    <row r="18" spans="1:14" x14ac:dyDescent="0.3">
      <c r="A18">
        <v>16</v>
      </c>
      <c r="B18">
        <v>2042</v>
      </c>
      <c r="C18">
        <v>0.80300000000000005</v>
      </c>
      <c r="D18">
        <v>787</v>
      </c>
      <c r="E18">
        <v>188</v>
      </c>
      <c r="F18">
        <v>86</v>
      </c>
      <c r="G18">
        <v>43</v>
      </c>
      <c r="H18">
        <v>65</v>
      </c>
      <c r="I18">
        <v>66</v>
      </c>
      <c r="J18">
        <v>31</v>
      </c>
      <c r="K18">
        <v>101</v>
      </c>
      <c r="L18">
        <v>53</v>
      </c>
      <c r="M18">
        <v>9</v>
      </c>
      <c r="N18">
        <v>144</v>
      </c>
    </row>
    <row r="19" spans="1:14" x14ac:dyDescent="0.3">
      <c r="A19">
        <v>17</v>
      </c>
      <c r="B19">
        <v>2043</v>
      </c>
      <c r="C19">
        <v>0.79549999999999998</v>
      </c>
      <c r="D19">
        <v>780</v>
      </c>
      <c r="E19">
        <v>186</v>
      </c>
      <c r="F19">
        <v>87</v>
      </c>
      <c r="G19">
        <v>41</v>
      </c>
      <c r="H19">
        <v>64</v>
      </c>
      <c r="I19">
        <v>67</v>
      </c>
      <c r="J19">
        <v>31</v>
      </c>
      <c r="K19">
        <v>103</v>
      </c>
      <c r="L19">
        <v>51</v>
      </c>
      <c r="M19">
        <v>8</v>
      </c>
      <c r="N19">
        <v>142</v>
      </c>
    </row>
    <row r="20" spans="1:14" x14ac:dyDescent="0.3">
      <c r="A20">
        <v>18</v>
      </c>
      <c r="B20">
        <v>2044</v>
      </c>
      <c r="C20">
        <v>0.7883</v>
      </c>
      <c r="D20">
        <v>773</v>
      </c>
      <c r="E20">
        <v>184</v>
      </c>
      <c r="F20">
        <v>88</v>
      </c>
      <c r="G20">
        <v>39</v>
      </c>
      <c r="H20">
        <v>62</v>
      </c>
      <c r="I20">
        <v>67</v>
      </c>
      <c r="J20">
        <v>31</v>
      </c>
      <c r="K20">
        <v>105</v>
      </c>
      <c r="L20">
        <v>50</v>
      </c>
      <c r="M20">
        <v>7</v>
      </c>
      <c r="N20">
        <v>140</v>
      </c>
    </row>
    <row r="21" spans="1:14" x14ac:dyDescent="0.3">
      <c r="A21">
        <v>19</v>
      </c>
      <c r="B21">
        <v>2045</v>
      </c>
      <c r="C21">
        <v>0.78149999999999997</v>
      </c>
      <c r="D21">
        <v>766</v>
      </c>
      <c r="E21">
        <v>182</v>
      </c>
      <c r="F21">
        <v>89</v>
      </c>
      <c r="G21">
        <v>37</v>
      </c>
      <c r="H21">
        <v>61</v>
      </c>
      <c r="I21">
        <v>67</v>
      </c>
      <c r="J21">
        <v>30</v>
      </c>
      <c r="K21">
        <v>107</v>
      </c>
      <c r="L21">
        <v>48</v>
      </c>
      <c r="M21">
        <v>7</v>
      </c>
      <c r="N21">
        <v>138</v>
      </c>
    </row>
    <row r="22" spans="1:14" x14ac:dyDescent="0.3">
      <c r="A22">
        <v>20</v>
      </c>
      <c r="B22">
        <v>2046</v>
      </c>
      <c r="C22">
        <v>0.77510000000000001</v>
      </c>
      <c r="D22">
        <v>760</v>
      </c>
      <c r="E22">
        <v>180</v>
      </c>
      <c r="F22">
        <v>90</v>
      </c>
      <c r="G22">
        <v>35</v>
      </c>
      <c r="H22">
        <v>59</v>
      </c>
      <c r="I22">
        <v>68</v>
      </c>
      <c r="J22">
        <v>30</v>
      </c>
      <c r="K22">
        <v>109</v>
      </c>
      <c r="L22">
        <v>47</v>
      </c>
      <c r="M22">
        <v>6</v>
      </c>
      <c r="N22">
        <v>136</v>
      </c>
    </row>
    <row r="23" spans="1:14" x14ac:dyDescent="0.3">
      <c r="A23">
        <v>21</v>
      </c>
      <c r="B23">
        <v>2047</v>
      </c>
      <c r="C23">
        <v>0.76900000000000002</v>
      </c>
      <c r="D23">
        <v>754</v>
      </c>
      <c r="E23">
        <v>179</v>
      </c>
      <c r="F23">
        <v>91</v>
      </c>
      <c r="G23">
        <v>33</v>
      </c>
      <c r="H23">
        <v>58</v>
      </c>
      <c r="I23">
        <v>68</v>
      </c>
      <c r="J23">
        <v>30</v>
      </c>
      <c r="K23">
        <v>111</v>
      </c>
      <c r="L23">
        <v>45</v>
      </c>
      <c r="M23">
        <v>5</v>
      </c>
      <c r="N23">
        <v>134</v>
      </c>
    </row>
    <row r="24" spans="1:14" x14ac:dyDescent="0.3">
      <c r="A24">
        <v>22</v>
      </c>
      <c r="B24">
        <v>2048</v>
      </c>
      <c r="C24">
        <v>0.76329999999999998</v>
      </c>
      <c r="D24">
        <v>748</v>
      </c>
      <c r="E24">
        <v>177</v>
      </c>
      <c r="F24">
        <v>91</v>
      </c>
      <c r="G24">
        <v>32</v>
      </c>
      <c r="H24">
        <v>56</v>
      </c>
      <c r="I24">
        <v>68</v>
      </c>
      <c r="J24">
        <v>29</v>
      </c>
      <c r="K24">
        <v>114</v>
      </c>
      <c r="L24">
        <v>44</v>
      </c>
      <c r="M24">
        <v>5</v>
      </c>
      <c r="N24">
        <v>132</v>
      </c>
    </row>
    <row r="25" spans="1:14" x14ac:dyDescent="0.3">
      <c r="A25">
        <v>23</v>
      </c>
      <c r="B25">
        <v>2049</v>
      </c>
      <c r="C25">
        <v>0.75790000000000002</v>
      </c>
      <c r="D25">
        <v>743</v>
      </c>
      <c r="E25">
        <v>175</v>
      </c>
      <c r="F25">
        <v>92</v>
      </c>
      <c r="G25">
        <v>30</v>
      </c>
      <c r="H25">
        <v>55</v>
      </c>
      <c r="I25">
        <v>69</v>
      </c>
      <c r="J25">
        <v>29</v>
      </c>
      <c r="K25">
        <v>116</v>
      </c>
      <c r="L25">
        <v>43</v>
      </c>
      <c r="M25">
        <v>4</v>
      </c>
      <c r="N25">
        <v>130</v>
      </c>
    </row>
    <row r="26" spans="1:14" x14ac:dyDescent="0.3">
      <c r="A26">
        <v>24</v>
      </c>
      <c r="B26">
        <v>2050</v>
      </c>
      <c r="C26">
        <v>0.75280000000000002</v>
      </c>
      <c r="D26">
        <v>738</v>
      </c>
      <c r="E26">
        <v>173</v>
      </c>
      <c r="F26">
        <v>93</v>
      </c>
      <c r="G26">
        <v>29</v>
      </c>
      <c r="H26">
        <v>53</v>
      </c>
      <c r="I26">
        <v>69</v>
      </c>
      <c r="J26">
        <v>29</v>
      </c>
      <c r="K26">
        <v>118</v>
      </c>
      <c r="L26">
        <v>41</v>
      </c>
      <c r="M26">
        <v>4</v>
      </c>
      <c r="N26">
        <v>128</v>
      </c>
    </row>
    <row r="27" spans="1:14" x14ac:dyDescent="0.3">
      <c r="A27">
        <v>25</v>
      </c>
      <c r="B27">
        <v>2051</v>
      </c>
      <c r="C27">
        <v>0.748</v>
      </c>
      <c r="D27">
        <v>733</v>
      </c>
      <c r="E27">
        <v>172</v>
      </c>
      <c r="F27">
        <v>94</v>
      </c>
      <c r="G27">
        <v>27</v>
      </c>
      <c r="H27">
        <v>52</v>
      </c>
      <c r="I27">
        <v>69</v>
      </c>
      <c r="J27">
        <v>29</v>
      </c>
      <c r="K27">
        <v>121</v>
      </c>
      <c r="L27">
        <v>40</v>
      </c>
      <c r="M27">
        <v>4</v>
      </c>
      <c r="N27">
        <v>126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3C3C-6346-4EB3-8CE8-2503C25DAF77}">
  <dimension ref="A1:G11"/>
  <sheetViews>
    <sheetView workbookViewId="0">
      <selection activeCell="D2" sqref="D2"/>
    </sheetView>
  </sheetViews>
  <sheetFormatPr defaultRowHeight="14.4" x14ac:dyDescent="0.3"/>
  <cols>
    <col min="1" max="1" width="21.109375" bestFit="1" customWidth="1"/>
    <col min="2" max="2" width="16.5546875" bestFit="1" customWidth="1"/>
    <col min="3" max="3" width="21.88671875" bestFit="1" customWidth="1"/>
    <col min="4" max="4" width="19.88671875" bestFit="1" customWidth="1"/>
    <col min="5" max="5" width="20" bestFit="1" customWidth="1"/>
    <col min="6" max="6" width="10.88671875" bestFit="1" customWidth="1"/>
    <col min="7" max="7" width="80.88671875" bestFit="1" customWidth="1"/>
  </cols>
  <sheetData>
    <row r="1" spans="1:7" x14ac:dyDescent="0.3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</row>
    <row r="2" spans="1:7" x14ac:dyDescent="0.3">
      <c r="A2" s="1" t="s">
        <v>240</v>
      </c>
      <c r="B2">
        <v>22.5</v>
      </c>
      <c r="C2">
        <v>220.5</v>
      </c>
      <c r="D2">
        <v>2646</v>
      </c>
      <c r="E2">
        <v>-1</v>
      </c>
      <c r="F2">
        <v>40</v>
      </c>
      <c r="G2" s="1" t="s">
        <v>241</v>
      </c>
    </row>
    <row r="3" spans="1:7" x14ac:dyDescent="0.3">
      <c r="A3" s="1" t="s">
        <v>242</v>
      </c>
      <c r="B3">
        <v>7.5</v>
      </c>
      <c r="C3">
        <v>73.5</v>
      </c>
      <c r="D3">
        <v>882</v>
      </c>
      <c r="E3">
        <v>1</v>
      </c>
      <c r="F3">
        <v>60</v>
      </c>
      <c r="G3" s="1" t="s">
        <v>243</v>
      </c>
    </row>
    <row r="4" spans="1:7" x14ac:dyDescent="0.3">
      <c r="A4" s="1" t="s">
        <v>244</v>
      </c>
      <c r="B4">
        <v>10</v>
      </c>
      <c r="C4">
        <v>98</v>
      </c>
      <c r="D4">
        <v>1176</v>
      </c>
      <c r="E4">
        <v>-5</v>
      </c>
      <c r="F4">
        <v>15</v>
      </c>
      <c r="G4" s="1" t="s">
        <v>245</v>
      </c>
    </row>
    <row r="5" spans="1:7" x14ac:dyDescent="0.3">
      <c r="A5" s="1" t="s">
        <v>246</v>
      </c>
      <c r="B5">
        <v>10</v>
      </c>
      <c r="C5">
        <v>98</v>
      </c>
      <c r="D5">
        <v>1176</v>
      </c>
      <c r="E5">
        <v>-2.5</v>
      </c>
      <c r="F5">
        <v>30</v>
      </c>
      <c r="G5" s="1" t="s">
        <v>247</v>
      </c>
    </row>
    <row r="6" spans="1:7" x14ac:dyDescent="0.3">
      <c r="A6" s="1" t="s">
        <v>248</v>
      </c>
      <c r="B6">
        <v>6.25</v>
      </c>
      <c r="C6">
        <v>61.25</v>
      </c>
      <c r="D6">
        <v>735</v>
      </c>
      <c r="E6">
        <v>0.5</v>
      </c>
      <c r="F6">
        <v>60</v>
      </c>
      <c r="G6" s="1" t="s">
        <v>249</v>
      </c>
    </row>
    <row r="7" spans="1:7" x14ac:dyDescent="0.3">
      <c r="A7" s="1" t="s">
        <v>250</v>
      </c>
      <c r="B7">
        <v>3.75</v>
      </c>
      <c r="C7">
        <v>36.75</v>
      </c>
      <c r="D7">
        <v>441</v>
      </c>
      <c r="E7">
        <v>-1</v>
      </c>
      <c r="F7">
        <v>30</v>
      </c>
      <c r="G7" s="1" t="s">
        <v>251</v>
      </c>
    </row>
    <row r="8" spans="1:7" x14ac:dyDescent="0.3">
      <c r="A8" s="1" t="s">
        <v>252</v>
      </c>
      <c r="B8">
        <v>7.5</v>
      </c>
      <c r="C8">
        <v>73.5</v>
      </c>
      <c r="D8">
        <v>882</v>
      </c>
      <c r="E8">
        <v>2</v>
      </c>
      <c r="F8">
        <v>90</v>
      </c>
      <c r="G8" s="1" t="s">
        <v>253</v>
      </c>
    </row>
    <row r="9" spans="1:7" x14ac:dyDescent="0.3">
      <c r="A9" s="1" t="s">
        <v>254</v>
      </c>
      <c r="B9">
        <v>8.75</v>
      </c>
      <c r="C9">
        <v>85.75</v>
      </c>
      <c r="D9">
        <v>1029</v>
      </c>
      <c r="E9">
        <v>-3</v>
      </c>
      <c r="F9">
        <v>30</v>
      </c>
      <c r="G9" s="1" t="s">
        <v>255</v>
      </c>
    </row>
    <row r="10" spans="1:7" x14ac:dyDescent="0.3">
      <c r="A10" s="1" t="s">
        <v>256</v>
      </c>
      <c r="B10">
        <v>5</v>
      </c>
      <c r="C10">
        <v>49</v>
      </c>
      <c r="D10">
        <v>588</v>
      </c>
      <c r="E10">
        <v>-10</v>
      </c>
      <c r="F10">
        <v>5</v>
      </c>
      <c r="G10" s="1" t="s">
        <v>257</v>
      </c>
    </row>
    <row r="11" spans="1:7" x14ac:dyDescent="0.3">
      <c r="A11" s="1" t="s">
        <v>258</v>
      </c>
      <c r="B11">
        <v>18.75</v>
      </c>
      <c r="C11">
        <v>183.75</v>
      </c>
      <c r="D11">
        <v>2205</v>
      </c>
      <c r="E11">
        <v>-1.5</v>
      </c>
      <c r="F11">
        <v>40</v>
      </c>
      <c r="G11" s="1" t="s">
        <v>259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9C35-3D40-4CAC-9DE5-79BCFC19C115}">
  <dimension ref="A1:C27"/>
  <sheetViews>
    <sheetView workbookViewId="0">
      <selection activeCell="B30" sqref="B30"/>
    </sheetView>
  </sheetViews>
  <sheetFormatPr defaultRowHeight="14.4" x14ac:dyDescent="0.3"/>
  <cols>
    <col min="1" max="1" width="32" bestFit="1" customWidth="1"/>
    <col min="2" max="2" width="10.77734375" bestFit="1" customWidth="1"/>
    <col min="3" max="3" width="57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18</v>
      </c>
      <c r="B7" s="1" t="s">
        <v>13</v>
      </c>
      <c r="C7" s="1" t="s">
        <v>19</v>
      </c>
    </row>
    <row r="8" spans="1:3" x14ac:dyDescent="0.3">
      <c r="A8" s="1" t="s">
        <v>20</v>
      </c>
      <c r="B8" s="1" t="s">
        <v>21</v>
      </c>
      <c r="C8" s="1" t="s">
        <v>22</v>
      </c>
    </row>
    <row r="9" spans="1:3" x14ac:dyDescent="0.3">
      <c r="A9" s="1" t="s">
        <v>23</v>
      </c>
      <c r="B9" s="1" t="s">
        <v>24</v>
      </c>
      <c r="C9" s="1" t="s">
        <v>25</v>
      </c>
    </row>
    <row r="10" spans="1:3" x14ac:dyDescent="0.3">
      <c r="A10" s="1" t="s">
        <v>26</v>
      </c>
      <c r="B10" s="1" t="s">
        <v>27</v>
      </c>
      <c r="C10" s="1" t="s">
        <v>28</v>
      </c>
    </row>
    <row r="11" spans="1:3" x14ac:dyDescent="0.3">
      <c r="A11" s="1" t="s">
        <v>29</v>
      </c>
      <c r="B11" s="1" t="s">
        <v>29</v>
      </c>
      <c r="C11" s="1" t="s">
        <v>29</v>
      </c>
    </row>
    <row r="12" spans="1:3" x14ac:dyDescent="0.3">
      <c r="A12" s="1" t="s">
        <v>30</v>
      </c>
      <c r="B12" s="1" t="s">
        <v>31</v>
      </c>
      <c r="C12" s="1" t="s">
        <v>32</v>
      </c>
    </row>
    <row r="13" spans="1:3" x14ac:dyDescent="0.3">
      <c r="A13" s="1" t="s">
        <v>33</v>
      </c>
      <c r="B13" s="1" t="s">
        <v>34</v>
      </c>
      <c r="C13" s="1" t="s">
        <v>35</v>
      </c>
    </row>
    <row r="14" spans="1:3" x14ac:dyDescent="0.3">
      <c r="A14" s="1" t="s">
        <v>36</v>
      </c>
      <c r="B14" s="1" t="s">
        <v>37</v>
      </c>
      <c r="C14" s="1" t="s">
        <v>38</v>
      </c>
    </row>
    <row r="15" spans="1:3" x14ac:dyDescent="0.3">
      <c r="A15" s="1" t="s">
        <v>29</v>
      </c>
      <c r="B15" s="1" t="s">
        <v>29</v>
      </c>
      <c r="C15" s="1" t="s">
        <v>29</v>
      </c>
    </row>
    <row r="16" spans="1:3" x14ac:dyDescent="0.3">
      <c r="A16" s="1" t="s">
        <v>39</v>
      </c>
      <c r="B16" s="1" t="s">
        <v>40</v>
      </c>
      <c r="C16" s="1" t="s">
        <v>41</v>
      </c>
    </row>
    <row r="17" spans="1:3" x14ac:dyDescent="0.3">
      <c r="A17" s="1" t="s">
        <v>42</v>
      </c>
      <c r="B17" s="1" t="s">
        <v>43</v>
      </c>
      <c r="C17" s="1" t="s">
        <v>44</v>
      </c>
    </row>
    <row r="18" spans="1:3" x14ac:dyDescent="0.3">
      <c r="A18" s="1" t="s">
        <v>45</v>
      </c>
      <c r="B18" s="1" t="s">
        <v>46</v>
      </c>
      <c r="C18" s="1" t="s">
        <v>47</v>
      </c>
    </row>
    <row r="19" spans="1:3" x14ac:dyDescent="0.3">
      <c r="A19" s="1" t="s">
        <v>29</v>
      </c>
      <c r="B19" s="1" t="s">
        <v>29</v>
      </c>
      <c r="C19" s="1" t="s">
        <v>29</v>
      </c>
    </row>
    <row r="20" spans="1:3" x14ac:dyDescent="0.3">
      <c r="A20" s="1" t="s">
        <v>48</v>
      </c>
      <c r="B20" s="1" t="s">
        <v>49</v>
      </c>
      <c r="C20" s="1" t="s">
        <v>50</v>
      </c>
    </row>
    <row r="21" spans="1:3" x14ac:dyDescent="0.3">
      <c r="A21" s="1" t="s">
        <v>51</v>
      </c>
      <c r="B21" s="1" t="s">
        <v>52</v>
      </c>
      <c r="C21" s="1" t="s">
        <v>53</v>
      </c>
    </row>
    <row r="22" spans="1:3" x14ac:dyDescent="0.3">
      <c r="A22" s="1" t="s">
        <v>54</v>
      </c>
      <c r="B22" s="1" t="s">
        <v>55</v>
      </c>
      <c r="C22" s="1" t="s">
        <v>56</v>
      </c>
    </row>
    <row r="23" spans="1:3" x14ac:dyDescent="0.3">
      <c r="A23" s="1" t="s">
        <v>29</v>
      </c>
      <c r="B23" s="1" t="s">
        <v>29</v>
      </c>
      <c r="C23" s="1" t="s">
        <v>29</v>
      </c>
    </row>
    <row r="24" spans="1:3" x14ac:dyDescent="0.3">
      <c r="A24" s="1" t="s">
        <v>57</v>
      </c>
      <c r="B24" s="1" t="s">
        <v>58</v>
      </c>
      <c r="C24" s="1" t="s">
        <v>59</v>
      </c>
    </row>
    <row r="25" spans="1:3" x14ac:dyDescent="0.3">
      <c r="A25" s="1" t="s">
        <v>60</v>
      </c>
      <c r="B25" s="1" t="s">
        <v>61</v>
      </c>
      <c r="C25" s="1" t="s">
        <v>62</v>
      </c>
    </row>
    <row r="26" spans="1:3" x14ac:dyDescent="0.3">
      <c r="A26" s="1" t="s">
        <v>63</v>
      </c>
      <c r="B26" s="1" t="s">
        <v>64</v>
      </c>
      <c r="C26" s="1" t="s">
        <v>65</v>
      </c>
    </row>
    <row r="27" spans="1:3" x14ac:dyDescent="0.3">
      <c r="A27" s="1" t="s">
        <v>66</v>
      </c>
      <c r="B27" s="1" t="s">
        <v>67</v>
      </c>
      <c r="C27" s="1" t="s">
        <v>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D8D1-7075-41F0-8A07-4827EF7D35FA}">
  <dimension ref="A1:G106"/>
  <sheetViews>
    <sheetView tabSelected="1" topLeftCell="A89" workbookViewId="0">
      <selection activeCell="F80" sqref="F80:F106"/>
    </sheetView>
  </sheetViews>
  <sheetFormatPr defaultRowHeight="14.4" x14ac:dyDescent="0.3"/>
  <cols>
    <col min="1" max="1" width="25.6640625" bestFit="1" customWidth="1"/>
    <col min="2" max="2" width="19.109375" bestFit="1" customWidth="1"/>
    <col min="3" max="3" width="12.33203125" bestFit="1" customWidth="1"/>
    <col min="4" max="4" width="27.6640625" style="2" bestFit="1" customWidth="1"/>
    <col min="5" max="5" width="23.88671875" style="2" bestFit="1" customWidth="1"/>
    <col min="6" max="6" width="32.44140625" style="2" bestFit="1" customWidth="1"/>
    <col min="7" max="7" width="37.44140625" bestFit="1" customWidth="1"/>
  </cols>
  <sheetData>
    <row r="1" spans="1:7" x14ac:dyDescent="0.3">
      <c r="A1" t="s">
        <v>69</v>
      </c>
      <c r="B1" t="s">
        <v>70</v>
      </c>
      <c r="C1" t="s">
        <v>71</v>
      </c>
      <c r="D1" s="2" t="s">
        <v>72</v>
      </c>
      <c r="E1" s="2" t="s">
        <v>73</v>
      </c>
      <c r="F1" s="2" t="s">
        <v>74</v>
      </c>
      <c r="G1" t="s">
        <v>75</v>
      </c>
    </row>
    <row r="2" spans="1:7" x14ac:dyDescent="0.3">
      <c r="A2" s="1" t="s">
        <v>76</v>
      </c>
      <c r="B2" s="1" t="s">
        <v>77</v>
      </c>
      <c r="C2">
        <v>160000</v>
      </c>
      <c r="D2" s="2">
        <v>90000</v>
      </c>
      <c r="E2" s="2">
        <v>14400000000</v>
      </c>
      <c r="F2" s="2">
        <v>1200000</v>
      </c>
      <c r="G2" s="1" t="s">
        <v>29</v>
      </c>
    </row>
    <row r="3" spans="1:7" x14ac:dyDescent="0.3">
      <c r="A3" s="1" t="s">
        <v>78</v>
      </c>
      <c r="B3" s="1" t="s">
        <v>77</v>
      </c>
      <c r="C3">
        <v>42000</v>
      </c>
      <c r="D3" s="2">
        <v>85000</v>
      </c>
      <c r="E3" s="2">
        <v>3570000000</v>
      </c>
      <c r="F3" s="2">
        <v>800000</v>
      </c>
      <c r="G3" s="1" t="s">
        <v>29</v>
      </c>
    </row>
    <row r="4" spans="1:7" x14ac:dyDescent="0.3">
      <c r="A4" s="1" t="s">
        <v>79</v>
      </c>
      <c r="B4" s="1" t="s">
        <v>80</v>
      </c>
      <c r="C4">
        <v>2200</v>
      </c>
      <c r="D4" s="2">
        <v>45000</v>
      </c>
      <c r="E4" s="2">
        <v>99000000</v>
      </c>
      <c r="F4" s="2">
        <v>400000</v>
      </c>
      <c r="G4" s="1" t="s">
        <v>29</v>
      </c>
    </row>
    <row r="5" spans="1:7" x14ac:dyDescent="0.3">
      <c r="A5" s="1" t="s">
        <v>81</v>
      </c>
      <c r="B5" s="1" t="s">
        <v>82</v>
      </c>
      <c r="C5">
        <v>6500</v>
      </c>
      <c r="D5" s="2">
        <v>500000</v>
      </c>
      <c r="E5" s="2">
        <v>3250000000</v>
      </c>
      <c r="F5" s="2">
        <v>90000</v>
      </c>
      <c r="G5" s="1" t="s">
        <v>29</v>
      </c>
    </row>
    <row r="6" spans="1:7" x14ac:dyDescent="0.3">
      <c r="A6" s="1" t="s">
        <v>83</v>
      </c>
      <c r="B6" s="1" t="s">
        <v>82</v>
      </c>
      <c r="C6">
        <v>4000</v>
      </c>
      <c r="D6" s="2">
        <v>450000</v>
      </c>
      <c r="E6" s="2">
        <v>1800000000</v>
      </c>
      <c r="F6" s="2">
        <v>120000</v>
      </c>
      <c r="G6" s="1" t="s">
        <v>29</v>
      </c>
    </row>
    <row r="7" spans="1:7" x14ac:dyDescent="0.3">
      <c r="A7" s="1" t="s">
        <v>84</v>
      </c>
      <c r="B7" s="1" t="s">
        <v>82</v>
      </c>
      <c r="C7">
        <v>1700</v>
      </c>
      <c r="D7" s="2">
        <v>1800000</v>
      </c>
      <c r="E7" s="2">
        <v>3060000000</v>
      </c>
      <c r="F7" s="2">
        <v>150000</v>
      </c>
      <c r="G7" s="1" t="s">
        <v>29</v>
      </c>
    </row>
    <row r="8" spans="1:7" x14ac:dyDescent="0.3">
      <c r="A8" s="1" t="s">
        <v>85</v>
      </c>
      <c r="B8" s="1" t="s">
        <v>82</v>
      </c>
      <c r="C8">
        <v>700</v>
      </c>
      <c r="D8" s="2">
        <v>1500000</v>
      </c>
      <c r="E8" s="2">
        <v>1050000000</v>
      </c>
      <c r="F8" s="2">
        <v>80000</v>
      </c>
      <c r="G8" s="1" t="s">
        <v>29</v>
      </c>
    </row>
    <row r="9" spans="1:7" x14ac:dyDescent="0.3">
      <c r="A9" s="1" t="s">
        <v>86</v>
      </c>
      <c r="B9" s="1" t="s">
        <v>82</v>
      </c>
      <c r="C9">
        <v>300</v>
      </c>
      <c r="D9" s="2">
        <v>600000</v>
      </c>
      <c r="E9" s="2">
        <v>180000000</v>
      </c>
      <c r="F9" s="2">
        <v>70000</v>
      </c>
      <c r="G9" s="1" t="s">
        <v>29</v>
      </c>
    </row>
    <row r="10" spans="1:7" x14ac:dyDescent="0.3">
      <c r="A10" s="1" t="s">
        <v>87</v>
      </c>
      <c r="B10" s="1" t="s">
        <v>82</v>
      </c>
      <c r="C10">
        <v>80</v>
      </c>
      <c r="D10" s="2">
        <v>900000</v>
      </c>
      <c r="E10" s="2">
        <v>72000000</v>
      </c>
      <c r="F10" s="2">
        <v>60000</v>
      </c>
      <c r="G10" s="1" t="s">
        <v>29</v>
      </c>
    </row>
    <row r="11" spans="1:7" x14ac:dyDescent="0.3">
      <c r="A11" s="1" t="s">
        <v>88</v>
      </c>
      <c r="B11" s="1" t="s">
        <v>82</v>
      </c>
      <c r="C11">
        <v>50</v>
      </c>
      <c r="D11" s="2">
        <v>1200000</v>
      </c>
      <c r="E11" s="2">
        <v>60000000</v>
      </c>
      <c r="F11" s="2">
        <v>40000</v>
      </c>
      <c r="G11" s="1" t="s">
        <v>29</v>
      </c>
    </row>
    <row r="12" spans="1:7" x14ac:dyDescent="0.3">
      <c r="A12" s="1" t="s">
        <v>89</v>
      </c>
      <c r="B12" s="1" t="s">
        <v>90</v>
      </c>
      <c r="C12">
        <v>250000</v>
      </c>
      <c r="D12" s="2">
        <v>85000</v>
      </c>
      <c r="E12" s="2">
        <v>21250000000</v>
      </c>
      <c r="F12" s="2">
        <v>2100000</v>
      </c>
      <c r="G12" s="1" t="s">
        <v>29</v>
      </c>
    </row>
    <row r="13" spans="1:7" x14ac:dyDescent="0.3">
      <c r="A13" s="1" t="s">
        <v>91</v>
      </c>
      <c r="B13" s="1" t="s">
        <v>90</v>
      </c>
      <c r="C13">
        <v>210000</v>
      </c>
      <c r="D13" s="2">
        <v>110000</v>
      </c>
      <c r="E13" s="2">
        <v>23100000000</v>
      </c>
      <c r="F13" s="2">
        <v>4500000</v>
      </c>
      <c r="G13" s="1" t="s">
        <v>29</v>
      </c>
    </row>
    <row r="14" spans="1:7" x14ac:dyDescent="0.3">
      <c r="A14" s="1" t="s">
        <v>92</v>
      </c>
      <c r="B14" s="1" t="s">
        <v>90</v>
      </c>
      <c r="C14">
        <v>176000</v>
      </c>
      <c r="D14" s="2">
        <v>80000</v>
      </c>
      <c r="E14" s="2">
        <v>14080000000</v>
      </c>
      <c r="F14" s="2">
        <v>3200000</v>
      </c>
      <c r="G14" s="1" t="s">
        <v>29</v>
      </c>
    </row>
    <row r="15" spans="1:7" x14ac:dyDescent="0.3">
      <c r="A15" s="1" t="s">
        <v>93</v>
      </c>
      <c r="B15" s="1" t="s">
        <v>90</v>
      </c>
      <c r="C15">
        <v>163000</v>
      </c>
      <c r="D15" s="2">
        <v>90000</v>
      </c>
      <c r="E15" s="2">
        <v>14670000000</v>
      </c>
      <c r="F15" s="2">
        <v>3400000</v>
      </c>
      <c r="G15" s="1" t="s">
        <v>29</v>
      </c>
    </row>
    <row r="16" spans="1:7" x14ac:dyDescent="0.3">
      <c r="A16" s="1" t="s">
        <v>94</v>
      </c>
      <c r="B16" s="1" t="s">
        <v>90</v>
      </c>
      <c r="C16">
        <v>48000</v>
      </c>
      <c r="D16" s="2">
        <v>100000</v>
      </c>
      <c r="E16" s="2">
        <v>4800000000</v>
      </c>
      <c r="F16" s="2">
        <v>1900000</v>
      </c>
      <c r="G16" s="1" t="s">
        <v>29</v>
      </c>
    </row>
    <row r="17" spans="1:7" x14ac:dyDescent="0.3">
      <c r="A17" s="1" t="s">
        <v>95</v>
      </c>
      <c r="B17" s="1" t="s">
        <v>96</v>
      </c>
      <c r="C17">
        <v>320000</v>
      </c>
      <c r="D17" s="2">
        <v>130000</v>
      </c>
      <c r="E17" s="2">
        <v>41600000000</v>
      </c>
      <c r="F17" s="2">
        <v>1800000</v>
      </c>
      <c r="G17" s="1" t="s">
        <v>29</v>
      </c>
    </row>
    <row r="18" spans="1:7" x14ac:dyDescent="0.3">
      <c r="A18" s="1" t="s">
        <v>97</v>
      </c>
      <c r="B18" s="1" t="s">
        <v>96</v>
      </c>
      <c r="C18">
        <v>140000</v>
      </c>
      <c r="D18" s="2">
        <v>150000</v>
      </c>
      <c r="E18" s="2">
        <v>21000000000</v>
      </c>
      <c r="F18" s="2">
        <v>1200000</v>
      </c>
      <c r="G18" s="1" t="s">
        <v>29</v>
      </c>
    </row>
    <row r="19" spans="1:7" x14ac:dyDescent="0.3">
      <c r="A19" s="1" t="s">
        <v>98</v>
      </c>
      <c r="B19" s="1" t="s">
        <v>96</v>
      </c>
      <c r="C19">
        <v>90000</v>
      </c>
      <c r="D19" s="2">
        <v>110000</v>
      </c>
      <c r="E19" s="2">
        <v>9900000000</v>
      </c>
      <c r="F19" s="2">
        <v>400000</v>
      </c>
      <c r="G19" s="1" t="s">
        <v>29</v>
      </c>
    </row>
    <row r="20" spans="1:7" x14ac:dyDescent="0.3">
      <c r="A20" s="1" t="s">
        <v>99</v>
      </c>
      <c r="B20" s="1" t="s">
        <v>96</v>
      </c>
      <c r="C20">
        <v>8000</v>
      </c>
      <c r="D20" s="2">
        <v>200000</v>
      </c>
      <c r="E20" s="2">
        <v>1600000000</v>
      </c>
      <c r="F20" s="2">
        <v>150000</v>
      </c>
      <c r="G20" s="1" t="s">
        <v>29</v>
      </c>
    </row>
    <row r="21" spans="1:7" x14ac:dyDescent="0.3">
      <c r="A21" s="1" t="s">
        <v>100</v>
      </c>
      <c r="B21" s="1" t="s">
        <v>101</v>
      </c>
      <c r="C21">
        <v>2100000</v>
      </c>
      <c r="D21" s="2">
        <v>18000</v>
      </c>
      <c r="E21" s="2">
        <v>37800000000</v>
      </c>
      <c r="F21" s="2">
        <v>9500000</v>
      </c>
      <c r="G21" s="1" t="s">
        <v>29</v>
      </c>
    </row>
    <row r="22" spans="1:7" x14ac:dyDescent="0.3">
      <c r="A22" s="1" t="s">
        <v>102</v>
      </c>
      <c r="B22" s="1" t="s">
        <v>101</v>
      </c>
      <c r="C22">
        <v>465000</v>
      </c>
      <c r="D22" s="2">
        <v>50000</v>
      </c>
      <c r="E22" s="2">
        <v>23250000000</v>
      </c>
      <c r="F22" s="2">
        <v>2400000</v>
      </c>
      <c r="G22" s="1" t="s">
        <v>29</v>
      </c>
    </row>
    <row r="23" spans="1:7" x14ac:dyDescent="0.3">
      <c r="A23" s="1" t="s">
        <v>103</v>
      </c>
      <c r="B23" s="1" t="s">
        <v>101</v>
      </c>
      <c r="C23">
        <v>440000</v>
      </c>
      <c r="D23" s="2">
        <v>25000</v>
      </c>
      <c r="E23" s="2">
        <v>11000000000</v>
      </c>
      <c r="F23" s="2">
        <v>3100000</v>
      </c>
      <c r="G23" s="1" t="s">
        <v>29</v>
      </c>
    </row>
    <row r="24" spans="1:7" x14ac:dyDescent="0.3">
      <c r="A24" s="1" t="s">
        <v>104</v>
      </c>
      <c r="B24" s="1" t="s">
        <v>101</v>
      </c>
      <c r="C24">
        <v>420000</v>
      </c>
      <c r="D24" s="2">
        <v>20000</v>
      </c>
      <c r="E24" s="2">
        <v>8400000000</v>
      </c>
      <c r="F24" s="2">
        <v>3800000</v>
      </c>
      <c r="G24" s="1" t="s">
        <v>29</v>
      </c>
    </row>
    <row r="25" spans="1:7" x14ac:dyDescent="0.3">
      <c r="A25" s="1" t="s">
        <v>105</v>
      </c>
      <c r="B25" s="1" t="s">
        <v>101</v>
      </c>
      <c r="C25">
        <v>330000</v>
      </c>
      <c r="D25" s="2">
        <v>18000</v>
      </c>
      <c r="E25" s="2">
        <v>5940000000</v>
      </c>
      <c r="F25" s="2">
        <v>2000000</v>
      </c>
      <c r="G25" s="1" t="s">
        <v>29</v>
      </c>
    </row>
    <row r="26" spans="1:7" x14ac:dyDescent="0.3">
      <c r="A26" s="1" t="s">
        <v>106</v>
      </c>
      <c r="B26" s="1" t="s">
        <v>101</v>
      </c>
      <c r="C26">
        <v>316000</v>
      </c>
      <c r="D26" s="2">
        <v>45000</v>
      </c>
      <c r="E26" s="2">
        <v>14220000000</v>
      </c>
      <c r="F26" s="2">
        <v>2800000</v>
      </c>
      <c r="G26" s="1" t="s">
        <v>29</v>
      </c>
    </row>
    <row r="27" spans="1:7" x14ac:dyDescent="0.3">
      <c r="A27" s="1" t="s">
        <v>107</v>
      </c>
      <c r="B27" s="1" t="s">
        <v>101</v>
      </c>
      <c r="C27">
        <v>300000</v>
      </c>
      <c r="D27" s="2">
        <v>40000</v>
      </c>
      <c r="E27" s="2">
        <v>12000000000</v>
      </c>
      <c r="F27" s="2">
        <v>1800000</v>
      </c>
      <c r="G27" s="1" t="s">
        <v>29</v>
      </c>
    </row>
    <row r="28" spans="1:7" x14ac:dyDescent="0.3">
      <c r="A28" s="1" t="s">
        <v>108</v>
      </c>
      <c r="B28" s="1" t="s">
        <v>101</v>
      </c>
      <c r="C28">
        <v>300000</v>
      </c>
      <c r="D28" s="2">
        <v>22000</v>
      </c>
      <c r="E28" s="2">
        <v>6600000000</v>
      </c>
      <c r="F28" s="2">
        <v>2200000</v>
      </c>
      <c r="G28" s="1" t="s">
        <v>29</v>
      </c>
    </row>
    <row r="29" spans="1:7" x14ac:dyDescent="0.3">
      <c r="A29" s="1" t="s">
        <v>109</v>
      </c>
      <c r="B29" s="1" t="s">
        <v>101</v>
      </c>
      <c r="C29">
        <v>90000</v>
      </c>
      <c r="D29" s="2">
        <v>28000</v>
      </c>
      <c r="E29" s="2">
        <v>2520000000</v>
      </c>
      <c r="F29" s="2">
        <v>650000</v>
      </c>
      <c r="G29" s="1" t="s">
        <v>29</v>
      </c>
    </row>
    <row r="30" spans="1:7" x14ac:dyDescent="0.3">
      <c r="A30" s="1" t="s">
        <v>110</v>
      </c>
      <c r="B30" s="1" t="s">
        <v>111</v>
      </c>
      <c r="C30">
        <v>1540000</v>
      </c>
      <c r="D30" s="2">
        <v>180000</v>
      </c>
      <c r="E30" s="2">
        <v>277200000000</v>
      </c>
      <c r="F30" s="2">
        <v>8500000</v>
      </c>
      <c r="G30" s="1" t="s">
        <v>29</v>
      </c>
    </row>
    <row r="31" spans="1:7" x14ac:dyDescent="0.3">
      <c r="A31" s="1" t="s">
        <v>112</v>
      </c>
      <c r="B31" s="1" t="s">
        <v>111</v>
      </c>
      <c r="C31">
        <v>221000</v>
      </c>
      <c r="D31" s="2">
        <v>550000</v>
      </c>
      <c r="E31" s="2">
        <v>121550000000</v>
      </c>
      <c r="F31" s="2">
        <v>4200000</v>
      </c>
      <c r="G31" s="1" t="s">
        <v>29</v>
      </c>
    </row>
    <row r="32" spans="1:7" x14ac:dyDescent="0.3">
      <c r="A32" s="1" t="s">
        <v>113</v>
      </c>
      <c r="B32" s="1" t="s">
        <v>111</v>
      </c>
      <c r="C32">
        <v>182000</v>
      </c>
      <c r="D32" s="2">
        <v>700000</v>
      </c>
      <c r="E32" s="2">
        <v>127400000000</v>
      </c>
      <c r="F32" s="2">
        <v>2800000</v>
      </c>
      <c r="G32" s="1" t="s">
        <v>29</v>
      </c>
    </row>
    <row r="33" spans="1:7" x14ac:dyDescent="0.3">
      <c r="A33" s="1" t="s">
        <v>114</v>
      </c>
      <c r="B33" s="1" t="s">
        <v>111</v>
      </c>
      <c r="C33">
        <v>164000</v>
      </c>
      <c r="D33" s="2">
        <v>650000</v>
      </c>
      <c r="E33" s="2">
        <v>106600000000</v>
      </c>
      <c r="F33" s="2">
        <v>3500000</v>
      </c>
      <c r="G33" s="1" t="s">
        <v>29</v>
      </c>
    </row>
    <row r="34" spans="1:7" x14ac:dyDescent="0.3">
      <c r="A34" s="1" t="s">
        <v>115</v>
      </c>
      <c r="B34" s="1" t="s">
        <v>111</v>
      </c>
      <c r="C34">
        <v>67000</v>
      </c>
      <c r="D34" s="2">
        <v>650000</v>
      </c>
      <c r="E34" s="2">
        <v>43550000000</v>
      </c>
      <c r="F34" s="2">
        <v>1200000</v>
      </c>
      <c r="G34" s="1" t="s">
        <v>29</v>
      </c>
    </row>
    <row r="35" spans="1:7" x14ac:dyDescent="0.3">
      <c r="A35" s="1" t="s">
        <v>116</v>
      </c>
      <c r="B35" s="1" t="s">
        <v>111</v>
      </c>
      <c r="C35">
        <v>30000</v>
      </c>
      <c r="D35" s="2">
        <v>2500000</v>
      </c>
      <c r="E35" s="2">
        <v>75000000000</v>
      </c>
      <c r="F35" s="2">
        <v>180000</v>
      </c>
      <c r="G35" s="1" t="s">
        <v>29</v>
      </c>
    </row>
    <row r="36" spans="1:7" x14ac:dyDescent="0.3">
      <c r="A36" s="1" t="s">
        <v>117</v>
      </c>
      <c r="B36" s="1" t="s">
        <v>118</v>
      </c>
      <c r="C36">
        <v>2400</v>
      </c>
      <c r="D36" s="2">
        <v>55000</v>
      </c>
      <c r="E36" s="2">
        <v>132000000</v>
      </c>
      <c r="F36" s="2">
        <v>320000</v>
      </c>
      <c r="G36" s="1" t="s">
        <v>29</v>
      </c>
    </row>
    <row r="37" spans="1:7" x14ac:dyDescent="0.3">
      <c r="A37" s="1" t="s">
        <v>119</v>
      </c>
      <c r="B37" s="1" t="s">
        <v>118</v>
      </c>
      <c r="C37">
        <v>180</v>
      </c>
      <c r="D37" s="2">
        <v>50000</v>
      </c>
      <c r="E37" s="2">
        <v>9000000</v>
      </c>
      <c r="F37" s="2">
        <v>40000</v>
      </c>
      <c r="G37" s="1" t="s">
        <v>29</v>
      </c>
    </row>
    <row r="38" spans="1:7" x14ac:dyDescent="0.3">
      <c r="A38" s="1" t="s">
        <v>120</v>
      </c>
      <c r="B38" s="1" t="s">
        <v>121</v>
      </c>
      <c r="C38">
        <v>12000</v>
      </c>
      <c r="D38" s="2">
        <v>90000</v>
      </c>
      <c r="E38" s="2">
        <v>1080000000</v>
      </c>
      <c r="F38" s="2">
        <v>100000</v>
      </c>
      <c r="G38" s="1" t="s">
        <v>29</v>
      </c>
    </row>
    <row r="39" spans="1:7" x14ac:dyDescent="0.3">
      <c r="A39" s="1" t="s">
        <v>122</v>
      </c>
      <c r="B39" s="1" t="s">
        <v>121</v>
      </c>
      <c r="C39">
        <v>11000</v>
      </c>
      <c r="D39" s="2">
        <v>100000</v>
      </c>
      <c r="E39" s="2">
        <v>1100000000</v>
      </c>
      <c r="F39" s="2">
        <v>90000</v>
      </c>
      <c r="G39" s="1" t="s">
        <v>29</v>
      </c>
    </row>
    <row r="40" spans="1:7" x14ac:dyDescent="0.3">
      <c r="A40" s="1" t="s">
        <v>123</v>
      </c>
      <c r="B40" s="1" t="s">
        <v>124</v>
      </c>
      <c r="C40">
        <v>185000</v>
      </c>
      <c r="D40" s="2">
        <v>110000</v>
      </c>
      <c r="E40" s="2">
        <v>20350000000</v>
      </c>
      <c r="F40" s="2">
        <v>90000</v>
      </c>
      <c r="G40" s="1" t="s">
        <v>29</v>
      </c>
    </row>
    <row r="41" spans="1:7" x14ac:dyDescent="0.3">
      <c r="A41" s="1" t="s">
        <v>125</v>
      </c>
      <c r="B41" s="1" t="s">
        <v>124</v>
      </c>
      <c r="C41">
        <v>122000</v>
      </c>
      <c r="D41" s="2">
        <v>130000</v>
      </c>
      <c r="E41" s="2">
        <v>15860000000</v>
      </c>
      <c r="F41" s="2">
        <v>120000</v>
      </c>
      <c r="G41" s="1" t="s">
        <v>29</v>
      </c>
    </row>
    <row r="42" spans="1:7" x14ac:dyDescent="0.3">
      <c r="A42" s="1" t="s">
        <v>126</v>
      </c>
      <c r="B42" s="1" t="s">
        <v>127</v>
      </c>
      <c r="C42">
        <v>3500</v>
      </c>
      <c r="D42" s="2">
        <v>180000</v>
      </c>
      <c r="E42" s="2">
        <v>630000000</v>
      </c>
      <c r="F42" s="2">
        <v>40000</v>
      </c>
      <c r="G42" s="1" t="s">
        <v>29</v>
      </c>
    </row>
    <row r="43" spans="1:7" x14ac:dyDescent="0.3">
      <c r="A43" s="1" t="s">
        <v>128</v>
      </c>
      <c r="B43" s="1" t="s">
        <v>127</v>
      </c>
      <c r="C43">
        <v>1000</v>
      </c>
      <c r="D43" s="2">
        <v>280000</v>
      </c>
      <c r="E43" s="2">
        <v>280000000</v>
      </c>
      <c r="F43" s="2">
        <v>25000</v>
      </c>
      <c r="G43" s="1" t="s">
        <v>29</v>
      </c>
    </row>
    <row r="44" spans="1:7" x14ac:dyDescent="0.3">
      <c r="A44" s="1" t="s">
        <v>129</v>
      </c>
      <c r="B44" s="1" t="s">
        <v>130</v>
      </c>
      <c r="C44">
        <v>62000</v>
      </c>
      <c r="D44" s="2">
        <v>460000</v>
      </c>
      <c r="E44" s="2">
        <v>28520000000</v>
      </c>
      <c r="F44" s="2">
        <v>3200000</v>
      </c>
      <c r="G44" s="1" t="s">
        <v>29</v>
      </c>
    </row>
    <row r="45" spans="1:7" x14ac:dyDescent="0.3">
      <c r="A45" s="1" t="s">
        <v>131</v>
      </c>
      <c r="B45" s="1" t="s">
        <v>130</v>
      </c>
      <c r="C45">
        <v>45000</v>
      </c>
      <c r="D45" s="2">
        <v>480000</v>
      </c>
      <c r="E45" s="2">
        <v>21600000000</v>
      </c>
      <c r="F45" s="2">
        <v>2100000</v>
      </c>
      <c r="G45" s="1" t="s">
        <v>29</v>
      </c>
    </row>
    <row r="46" spans="1:7" x14ac:dyDescent="0.3">
      <c r="A46" s="1" t="s">
        <v>132</v>
      </c>
      <c r="B46" s="1" t="s">
        <v>130</v>
      </c>
      <c r="C46">
        <v>18000</v>
      </c>
      <c r="D46" s="2">
        <v>350000</v>
      </c>
      <c r="E46" s="2">
        <v>6300000000</v>
      </c>
      <c r="F46" s="2">
        <v>1800000</v>
      </c>
      <c r="G46" s="1" t="s">
        <v>29</v>
      </c>
    </row>
    <row r="47" spans="1:7" x14ac:dyDescent="0.3">
      <c r="A47" s="1" t="s">
        <v>133</v>
      </c>
      <c r="B47" s="1" t="s">
        <v>134</v>
      </c>
      <c r="C47">
        <v>300000</v>
      </c>
      <c r="D47" s="2">
        <v>280000</v>
      </c>
      <c r="E47" s="2">
        <v>84000000000</v>
      </c>
      <c r="F47" s="2">
        <v>4500000</v>
      </c>
      <c r="G47" s="1" t="s">
        <v>29</v>
      </c>
    </row>
    <row r="48" spans="1:7" x14ac:dyDescent="0.3">
      <c r="A48" s="1" t="s">
        <v>135</v>
      </c>
      <c r="B48" s="1" t="s">
        <v>134</v>
      </c>
      <c r="C48">
        <v>225000</v>
      </c>
      <c r="D48" s="2">
        <v>190000</v>
      </c>
      <c r="E48" s="2">
        <v>42750000000</v>
      </c>
      <c r="F48" s="2">
        <v>3200000</v>
      </c>
      <c r="G48" s="1" t="s">
        <v>29</v>
      </c>
    </row>
    <row r="49" spans="1:7" x14ac:dyDescent="0.3">
      <c r="A49" s="1" t="s">
        <v>136</v>
      </c>
      <c r="B49" s="1" t="s">
        <v>134</v>
      </c>
      <c r="C49">
        <v>213000</v>
      </c>
      <c r="D49" s="2">
        <v>210000</v>
      </c>
      <c r="E49" s="2">
        <v>44730000000</v>
      </c>
      <c r="F49" s="2">
        <v>3800000</v>
      </c>
      <c r="G49" s="1" t="s">
        <v>29</v>
      </c>
    </row>
    <row r="50" spans="1:7" x14ac:dyDescent="0.3">
      <c r="A50" s="1" t="s">
        <v>137</v>
      </c>
      <c r="B50" s="1" t="s">
        <v>134</v>
      </c>
      <c r="C50">
        <v>45000</v>
      </c>
      <c r="D50" s="2">
        <v>350000</v>
      </c>
      <c r="E50" s="2">
        <v>15750000000</v>
      </c>
      <c r="F50" s="2">
        <v>600000</v>
      </c>
      <c r="G50" s="1" t="s">
        <v>29</v>
      </c>
    </row>
    <row r="51" spans="1:7" x14ac:dyDescent="0.3">
      <c r="A51" s="1" t="s">
        <v>138</v>
      </c>
      <c r="B51" s="1" t="s">
        <v>134</v>
      </c>
      <c r="C51">
        <v>35000</v>
      </c>
      <c r="D51" s="2">
        <v>250000</v>
      </c>
      <c r="E51" s="2">
        <v>8750000000</v>
      </c>
      <c r="F51" s="2">
        <v>400000</v>
      </c>
      <c r="G51" s="1" t="s">
        <v>29</v>
      </c>
    </row>
    <row r="52" spans="1:7" x14ac:dyDescent="0.3">
      <c r="A52" s="1" t="s">
        <v>139</v>
      </c>
      <c r="B52" s="1" t="s">
        <v>134</v>
      </c>
      <c r="C52">
        <v>33000</v>
      </c>
      <c r="D52" s="2">
        <v>800000</v>
      </c>
      <c r="E52" s="2">
        <v>26400000000</v>
      </c>
      <c r="F52" s="2">
        <v>180000</v>
      </c>
      <c r="G52" s="1" t="s">
        <v>29</v>
      </c>
    </row>
    <row r="53" spans="1:7" x14ac:dyDescent="0.3">
      <c r="A53" s="1" t="s">
        <v>140</v>
      </c>
      <c r="B53" s="1" t="s">
        <v>134</v>
      </c>
      <c r="C53">
        <v>28000</v>
      </c>
      <c r="D53" s="2">
        <v>900000</v>
      </c>
      <c r="E53" s="2">
        <v>25200000000</v>
      </c>
      <c r="F53" s="2">
        <v>200000</v>
      </c>
      <c r="G53" s="1" t="s">
        <v>29</v>
      </c>
    </row>
    <row r="54" spans="1:7" x14ac:dyDescent="0.3">
      <c r="A54" s="1" t="s">
        <v>141</v>
      </c>
      <c r="B54" s="1" t="s">
        <v>134</v>
      </c>
      <c r="C54">
        <v>850</v>
      </c>
      <c r="D54" s="2">
        <v>140000</v>
      </c>
      <c r="E54" s="2">
        <v>119000000</v>
      </c>
      <c r="F54" s="2">
        <v>80000</v>
      </c>
      <c r="G54" s="1" t="s">
        <v>29</v>
      </c>
    </row>
    <row r="55" spans="1:7" x14ac:dyDescent="0.3">
      <c r="A55" s="1" t="s">
        <v>142</v>
      </c>
      <c r="B55" s="1" t="s">
        <v>143</v>
      </c>
      <c r="C55">
        <v>55000</v>
      </c>
      <c r="D55" s="2">
        <v>65000</v>
      </c>
      <c r="E55" s="2">
        <v>3575000000</v>
      </c>
      <c r="F55" s="2">
        <v>2800000</v>
      </c>
      <c r="G55" s="1" t="s">
        <v>29</v>
      </c>
    </row>
    <row r="56" spans="1:7" x14ac:dyDescent="0.3">
      <c r="A56" s="1" t="s">
        <v>144</v>
      </c>
      <c r="B56" s="1" t="s">
        <v>143</v>
      </c>
      <c r="C56">
        <v>28000</v>
      </c>
      <c r="D56" s="2">
        <v>110000</v>
      </c>
      <c r="E56" s="2">
        <v>3080000000</v>
      </c>
      <c r="F56" s="2">
        <v>180000</v>
      </c>
      <c r="G56" s="1" t="s">
        <v>29</v>
      </c>
    </row>
    <row r="57" spans="1:7" x14ac:dyDescent="0.3">
      <c r="A57" s="1" t="s">
        <v>145</v>
      </c>
      <c r="B57" s="1" t="s">
        <v>146</v>
      </c>
      <c r="C57">
        <v>400000</v>
      </c>
      <c r="D57" s="2">
        <v>160000</v>
      </c>
      <c r="E57" s="2">
        <v>64000000000</v>
      </c>
      <c r="F57" s="2">
        <v>3500000</v>
      </c>
      <c r="G57" s="1" t="s">
        <v>29</v>
      </c>
    </row>
    <row r="58" spans="1:7" x14ac:dyDescent="0.3">
      <c r="A58" s="1" t="s">
        <v>147</v>
      </c>
      <c r="B58" s="1" t="s">
        <v>146</v>
      </c>
      <c r="C58">
        <v>102000</v>
      </c>
      <c r="D58" s="2">
        <v>180000</v>
      </c>
      <c r="E58" s="2">
        <v>18360000000</v>
      </c>
      <c r="F58" s="2">
        <v>900000</v>
      </c>
      <c r="G58" s="1" t="s">
        <v>29</v>
      </c>
    </row>
    <row r="59" spans="1:7" x14ac:dyDescent="0.3">
      <c r="A59" s="1" t="s">
        <v>148</v>
      </c>
      <c r="B59" s="1" t="s">
        <v>146</v>
      </c>
      <c r="C59">
        <v>94000</v>
      </c>
      <c r="D59" s="2">
        <v>140000</v>
      </c>
      <c r="E59" s="2">
        <v>13160000000</v>
      </c>
      <c r="F59" s="2">
        <v>650000</v>
      </c>
      <c r="G59" s="1" t="s">
        <v>29</v>
      </c>
    </row>
    <row r="60" spans="1:7" x14ac:dyDescent="0.3">
      <c r="A60" s="1" t="s">
        <v>149</v>
      </c>
      <c r="B60" s="1" t="s">
        <v>150</v>
      </c>
      <c r="C60">
        <v>280000</v>
      </c>
      <c r="D60" s="2">
        <v>100000</v>
      </c>
      <c r="E60" s="2">
        <v>28000000000</v>
      </c>
      <c r="F60" s="2">
        <v>3800000</v>
      </c>
      <c r="G60" s="1" t="s">
        <v>29</v>
      </c>
    </row>
    <row r="61" spans="1:7" x14ac:dyDescent="0.3">
      <c r="A61" s="1" t="s">
        <v>151</v>
      </c>
      <c r="B61" s="1" t="s">
        <v>150</v>
      </c>
      <c r="C61">
        <v>72000</v>
      </c>
      <c r="D61" s="2">
        <v>95000</v>
      </c>
      <c r="E61" s="2">
        <v>6840000000</v>
      </c>
      <c r="F61" s="2">
        <v>2200000</v>
      </c>
      <c r="G61" s="1" t="s">
        <v>29</v>
      </c>
    </row>
    <row r="62" spans="1:7" x14ac:dyDescent="0.3">
      <c r="A62" s="1" t="s">
        <v>152</v>
      </c>
      <c r="B62" s="1" t="s">
        <v>150</v>
      </c>
      <c r="C62">
        <v>30000</v>
      </c>
      <c r="D62" s="2">
        <v>85000</v>
      </c>
      <c r="E62" s="2">
        <v>2550000000</v>
      </c>
      <c r="F62" s="2">
        <v>1200000</v>
      </c>
      <c r="G62" s="1" t="s">
        <v>29</v>
      </c>
    </row>
    <row r="63" spans="1:7" x14ac:dyDescent="0.3">
      <c r="A63" s="1" t="s">
        <v>153</v>
      </c>
      <c r="B63" s="1" t="s">
        <v>154</v>
      </c>
      <c r="C63">
        <v>411000</v>
      </c>
      <c r="D63" s="2">
        <v>35000</v>
      </c>
      <c r="E63" s="2">
        <v>14385000000</v>
      </c>
      <c r="F63" s="2">
        <v>85000</v>
      </c>
      <c r="G63" s="1" t="s">
        <v>29</v>
      </c>
    </row>
    <row r="64" spans="1:7" x14ac:dyDescent="0.3">
      <c r="A64" s="1" t="s">
        <v>155</v>
      </c>
      <c r="B64" s="1" t="s">
        <v>154</v>
      </c>
      <c r="C64">
        <v>159000</v>
      </c>
      <c r="D64" s="2">
        <v>38000</v>
      </c>
      <c r="E64" s="2">
        <v>6042000000</v>
      </c>
      <c r="F64" s="2">
        <v>60000</v>
      </c>
      <c r="G64" s="1" t="s">
        <v>29</v>
      </c>
    </row>
    <row r="65" spans="1:7" x14ac:dyDescent="0.3">
      <c r="A65" s="1" t="s">
        <v>156</v>
      </c>
      <c r="B65" s="1" t="s">
        <v>154</v>
      </c>
      <c r="C65">
        <v>6900</v>
      </c>
      <c r="D65" s="2">
        <v>290000</v>
      </c>
      <c r="E65" s="2">
        <v>2001000000</v>
      </c>
      <c r="F65" s="2">
        <v>25000</v>
      </c>
      <c r="G65" s="1" t="s">
        <v>29</v>
      </c>
    </row>
    <row r="66" spans="1:7" x14ac:dyDescent="0.3">
      <c r="A66" s="1" t="s">
        <v>157</v>
      </c>
      <c r="B66" s="1" t="s">
        <v>154</v>
      </c>
      <c r="C66">
        <v>12</v>
      </c>
      <c r="D66" s="2">
        <v>22000</v>
      </c>
      <c r="E66" s="2">
        <v>264000</v>
      </c>
      <c r="F66" s="2">
        <v>1500</v>
      </c>
      <c r="G66" s="1" t="s">
        <v>29</v>
      </c>
    </row>
    <row r="67" spans="1:7" x14ac:dyDescent="0.3">
      <c r="A67" s="1" t="s">
        <v>158</v>
      </c>
      <c r="B67" s="1" t="s">
        <v>159</v>
      </c>
      <c r="C67">
        <v>59000</v>
      </c>
      <c r="D67" s="2">
        <v>160000</v>
      </c>
      <c r="E67" s="2">
        <v>9440000000</v>
      </c>
      <c r="F67" s="2">
        <v>650000</v>
      </c>
      <c r="G67" s="1" t="s">
        <v>29</v>
      </c>
    </row>
    <row r="68" spans="1:7" x14ac:dyDescent="0.3">
      <c r="A68" s="1" t="s">
        <v>160</v>
      </c>
      <c r="B68" s="1" t="s">
        <v>159</v>
      </c>
      <c r="C68">
        <v>57000</v>
      </c>
      <c r="D68" s="2">
        <v>280000</v>
      </c>
      <c r="E68" s="2">
        <v>15960000000</v>
      </c>
      <c r="F68" s="2">
        <v>500000</v>
      </c>
      <c r="G68" s="1" t="s">
        <v>29</v>
      </c>
    </row>
    <row r="69" spans="1:7" x14ac:dyDescent="0.3">
      <c r="A69" s="1" t="s">
        <v>161</v>
      </c>
      <c r="B69" s="1" t="s">
        <v>159</v>
      </c>
      <c r="C69">
        <v>53000</v>
      </c>
      <c r="D69" s="2">
        <v>130000</v>
      </c>
      <c r="E69" s="2">
        <v>6890000000</v>
      </c>
      <c r="F69" s="2">
        <v>400000</v>
      </c>
      <c r="G69" s="1" t="s">
        <v>29</v>
      </c>
    </row>
    <row r="70" spans="1:7" x14ac:dyDescent="0.3">
      <c r="A70" s="1" t="s">
        <v>162</v>
      </c>
      <c r="B70" s="1" t="s">
        <v>159</v>
      </c>
      <c r="C70">
        <v>24000</v>
      </c>
      <c r="D70" s="2">
        <v>140000</v>
      </c>
      <c r="E70" s="2">
        <v>3360000000</v>
      </c>
      <c r="F70" s="2">
        <v>320000</v>
      </c>
      <c r="G70" s="1" t="s">
        <v>29</v>
      </c>
    </row>
    <row r="71" spans="1:7" x14ac:dyDescent="0.3">
      <c r="A71" s="1" t="s">
        <v>163</v>
      </c>
      <c r="B71" s="1" t="s">
        <v>164</v>
      </c>
      <c r="C71">
        <v>530000</v>
      </c>
      <c r="D71" s="2">
        <v>70000</v>
      </c>
      <c r="E71" s="2">
        <v>37100000000</v>
      </c>
      <c r="F71" s="2">
        <v>400000</v>
      </c>
      <c r="G71" s="1" t="s">
        <v>29</v>
      </c>
    </row>
    <row r="72" spans="1:7" x14ac:dyDescent="0.3">
      <c r="A72" s="1" t="s">
        <v>165</v>
      </c>
      <c r="B72" s="1" t="s">
        <v>164</v>
      </c>
      <c r="C72">
        <v>500000</v>
      </c>
      <c r="D72" s="2">
        <v>60000</v>
      </c>
      <c r="E72" s="2">
        <v>30000000000</v>
      </c>
      <c r="F72" s="2">
        <v>450000</v>
      </c>
      <c r="G72" s="1" t="s">
        <v>29</v>
      </c>
    </row>
    <row r="73" spans="1:7" x14ac:dyDescent="0.3">
      <c r="A73" s="1" t="s">
        <v>166</v>
      </c>
      <c r="B73" s="1" t="s">
        <v>164</v>
      </c>
      <c r="C73">
        <v>40000</v>
      </c>
      <c r="D73" s="2">
        <v>55000</v>
      </c>
      <c r="E73" s="2">
        <v>2200000000</v>
      </c>
      <c r="F73" s="2">
        <v>180000</v>
      </c>
      <c r="G73" s="1" t="s">
        <v>29</v>
      </c>
    </row>
    <row r="74" spans="1:7" x14ac:dyDescent="0.3">
      <c r="A74" s="1" t="s">
        <v>167</v>
      </c>
      <c r="B74" s="1" t="s">
        <v>164</v>
      </c>
      <c r="C74">
        <v>31000</v>
      </c>
      <c r="D74" s="2">
        <v>140000</v>
      </c>
      <c r="E74" s="2">
        <v>4340000000</v>
      </c>
      <c r="F74" s="2">
        <v>220000</v>
      </c>
      <c r="G74" s="1" t="s">
        <v>29</v>
      </c>
    </row>
    <row r="75" spans="1:7" x14ac:dyDescent="0.3">
      <c r="A75" s="1" t="s">
        <v>168</v>
      </c>
      <c r="B75" s="1" t="s">
        <v>164</v>
      </c>
      <c r="C75">
        <v>3000</v>
      </c>
      <c r="D75" s="2">
        <v>85000</v>
      </c>
      <c r="E75" s="2">
        <v>255000000</v>
      </c>
      <c r="F75" s="2">
        <v>80000</v>
      </c>
      <c r="G75" s="1" t="s">
        <v>29</v>
      </c>
    </row>
    <row r="76" spans="1:7" x14ac:dyDescent="0.3">
      <c r="A76" s="1" t="s">
        <v>169</v>
      </c>
      <c r="B76" s="1" t="s">
        <v>164</v>
      </c>
      <c r="C76">
        <v>400</v>
      </c>
      <c r="D76" s="2">
        <v>45000</v>
      </c>
      <c r="E76" s="2">
        <v>18000000</v>
      </c>
      <c r="F76" s="2">
        <v>80000</v>
      </c>
      <c r="G76" s="1" t="s">
        <v>29</v>
      </c>
    </row>
    <row r="77" spans="1:7" x14ac:dyDescent="0.3">
      <c r="A77" s="1" t="s">
        <v>170</v>
      </c>
      <c r="B77" s="1" t="s">
        <v>171</v>
      </c>
      <c r="C77">
        <v>225000</v>
      </c>
      <c r="D77" s="2">
        <v>220000</v>
      </c>
      <c r="E77" s="2">
        <v>49500000000</v>
      </c>
      <c r="F77" s="2">
        <v>450000</v>
      </c>
      <c r="G77" s="1" t="s">
        <v>29</v>
      </c>
    </row>
    <row r="78" spans="1:7" x14ac:dyDescent="0.3">
      <c r="A78" s="1" t="s">
        <v>172</v>
      </c>
      <c r="B78" s="1" t="s">
        <v>171</v>
      </c>
      <c r="C78">
        <v>13000</v>
      </c>
      <c r="D78" s="2">
        <v>400000</v>
      </c>
      <c r="E78" s="2">
        <v>5200000000</v>
      </c>
      <c r="F78" s="2">
        <v>180000</v>
      </c>
      <c r="G78" s="1" t="s">
        <v>29</v>
      </c>
    </row>
    <row r="79" spans="1:7" x14ac:dyDescent="0.3">
      <c r="A79" s="1" t="s">
        <v>173</v>
      </c>
      <c r="B79" s="1" t="s">
        <v>171</v>
      </c>
      <c r="C79">
        <v>9000</v>
      </c>
      <c r="D79" s="2">
        <v>180000</v>
      </c>
      <c r="E79" s="2">
        <v>1620000000</v>
      </c>
      <c r="F79" s="2">
        <v>90000</v>
      </c>
      <c r="G79" s="1" t="s">
        <v>29</v>
      </c>
    </row>
    <row r="80" spans="1:7" x14ac:dyDescent="0.3">
      <c r="A80" s="1" t="s">
        <v>174</v>
      </c>
      <c r="B80" s="1" t="s">
        <v>175</v>
      </c>
      <c r="C80">
        <v>131000</v>
      </c>
      <c r="D80" s="2">
        <v>280000</v>
      </c>
      <c r="E80" s="2">
        <v>36680000000</v>
      </c>
      <c r="F80" s="2">
        <v>3100000</v>
      </c>
      <c r="G80" s="1" t="s">
        <v>29</v>
      </c>
    </row>
    <row r="81" spans="1:7" x14ac:dyDescent="0.3">
      <c r="A81" s="1" t="s">
        <v>176</v>
      </c>
      <c r="B81" s="1" t="s">
        <v>175</v>
      </c>
      <c r="C81">
        <v>83000</v>
      </c>
      <c r="D81" s="2">
        <v>350000</v>
      </c>
      <c r="E81" s="2">
        <v>29050000000</v>
      </c>
      <c r="F81" s="2">
        <v>2400000</v>
      </c>
      <c r="G81" s="1" t="s">
        <v>29</v>
      </c>
    </row>
    <row r="82" spans="1:7" x14ac:dyDescent="0.3">
      <c r="A82" s="1" t="s">
        <v>177</v>
      </c>
      <c r="B82" s="1" t="s">
        <v>175</v>
      </c>
      <c r="C82">
        <v>71000</v>
      </c>
      <c r="D82" s="2">
        <v>320000</v>
      </c>
      <c r="E82" s="2">
        <v>22720000000</v>
      </c>
      <c r="F82" s="2">
        <v>1900000</v>
      </c>
      <c r="G82" s="1" t="s">
        <v>29</v>
      </c>
    </row>
    <row r="83" spans="1:7" x14ac:dyDescent="0.3">
      <c r="A83" s="1" t="s">
        <v>178</v>
      </c>
      <c r="B83" s="1" t="s">
        <v>175</v>
      </c>
      <c r="C83">
        <v>50000</v>
      </c>
      <c r="D83" s="2">
        <v>400000</v>
      </c>
      <c r="E83" s="2">
        <v>20000000000</v>
      </c>
      <c r="F83" s="2">
        <v>1700000</v>
      </c>
      <c r="G83" s="1" t="s">
        <v>29</v>
      </c>
    </row>
    <row r="84" spans="1:7" x14ac:dyDescent="0.3">
      <c r="A84" s="1" t="s">
        <v>179</v>
      </c>
      <c r="B84" s="1" t="s">
        <v>175</v>
      </c>
      <c r="C84">
        <v>43000</v>
      </c>
      <c r="D84" s="2">
        <v>480000</v>
      </c>
      <c r="E84" s="2">
        <v>20640000000</v>
      </c>
      <c r="F84" s="2">
        <v>1800000</v>
      </c>
      <c r="G84" s="1" t="s">
        <v>29</v>
      </c>
    </row>
    <row r="85" spans="1:7" x14ac:dyDescent="0.3">
      <c r="A85" s="1" t="s">
        <v>180</v>
      </c>
      <c r="B85" s="1" t="s">
        <v>181</v>
      </c>
      <c r="C85">
        <v>400000</v>
      </c>
      <c r="D85" s="2">
        <v>18000</v>
      </c>
      <c r="E85" s="2">
        <v>7200000000</v>
      </c>
      <c r="F85" s="2">
        <v>300000</v>
      </c>
      <c r="G85" s="1" t="s">
        <v>29</v>
      </c>
    </row>
    <row r="86" spans="1:7" x14ac:dyDescent="0.3">
      <c r="A86" s="1" t="s">
        <v>182</v>
      </c>
      <c r="B86" s="1" t="s">
        <v>181</v>
      </c>
      <c r="C86">
        <v>381000</v>
      </c>
      <c r="D86" s="2">
        <v>22000</v>
      </c>
      <c r="E86" s="2">
        <v>8382000000</v>
      </c>
      <c r="F86" s="2">
        <v>450000</v>
      </c>
      <c r="G86" s="1" t="s">
        <v>29</v>
      </c>
    </row>
    <row r="87" spans="1:7" x14ac:dyDescent="0.3">
      <c r="A87" s="1" t="s">
        <v>183</v>
      </c>
      <c r="B87" s="1" t="s">
        <v>181</v>
      </c>
      <c r="C87">
        <v>150000</v>
      </c>
      <c r="D87" s="2">
        <v>30000</v>
      </c>
      <c r="E87" s="2">
        <v>4500000000</v>
      </c>
      <c r="F87" s="2">
        <v>650000</v>
      </c>
      <c r="G87" s="1" t="s">
        <v>29</v>
      </c>
    </row>
    <row r="88" spans="1:7" x14ac:dyDescent="0.3">
      <c r="A88" s="1" t="s">
        <v>184</v>
      </c>
      <c r="B88" s="1" t="s">
        <v>181</v>
      </c>
      <c r="C88">
        <v>110000</v>
      </c>
      <c r="D88" s="2">
        <v>38000</v>
      </c>
      <c r="E88" s="2">
        <v>4180000000</v>
      </c>
      <c r="F88" s="2">
        <v>280000</v>
      </c>
      <c r="G88" s="1" t="s">
        <v>29</v>
      </c>
    </row>
    <row r="89" spans="1:7" x14ac:dyDescent="0.3">
      <c r="A89" s="1" t="s">
        <v>185</v>
      </c>
      <c r="B89" s="1" t="s">
        <v>181</v>
      </c>
      <c r="C89">
        <v>70000</v>
      </c>
      <c r="D89" s="2">
        <v>16000</v>
      </c>
      <c r="E89" s="2">
        <v>1120000000</v>
      </c>
      <c r="F89" s="2">
        <v>120000</v>
      </c>
      <c r="G89" s="1" t="s">
        <v>29</v>
      </c>
    </row>
    <row r="90" spans="1:7" x14ac:dyDescent="0.3">
      <c r="A90" s="1" t="s">
        <v>186</v>
      </c>
      <c r="B90" s="1" t="s">
        <v>181</v>
      </c>
      <c r="C90">
        <v>14000</v>
      </c>
      <c r="D90" s="2">
        <v>28000</v>
      </c>
      <c r="E90" s="2">
        <v>392000000</v>
      </c>
      <c r="F90" s="2">
        <v>180000</v>
      </c>
      <c r="G90" s="1" t="s">
        <v>29</v>
      </c>
    </row>
    <row r="91" spans="1:7" x14ac:dyDescent="0.3">
      <c r="A91" s="1" t="s">
        <v>187</v>
      </c>
      <c r="B91" s="1" t="s">
        <v>188</v>
      </c>
      <c r="C91">
        <v>163000</v>
      </c>
      <c r="D91" s="2">
        <v>260000</v>
      </c>
      <c r="E91" s="2">
        <v>42380000000</v>
      </c>
      <c r="F91" s="2">
        <v>280000</v>
      </c>
      <c r="G91" s="1" t="s">
        <v>29</v>
      </c>
    </row>
    <row r="92" spans="1:7" x14ac:dyDescent="0.3">
      <c r="A92" s="1" t="s">
        <v>189</v>
      </c>
      <c r="B92" s="1" t="s">
        <v>188</v>
      </c>
      <c r="C92">
        <v>72000</v>
      </c>
      <c r="D92" s="2">
        <v>220000</v>
      </c>
      <c r="E92" s="2">
        <v>15840000000</v>
      </c>
      <c r="F92" s="2">
        <v>180000</v>
      </c>
      <c r="G92" s="1" t="s">
        <v>29</v>
      </c>
    </row>
    <row r="93" spans="1:7" x14ac:dyDescent="0.3">
      <c r="A93" s="1" t="s">
        <v>190</v>
      </c>
      <c r="B93" s="1" t="s">
        <v>188</v>
      </c>
      <c r="C93">
        <v>30000</v>
      </c>
      <c r="D93" s="2">
        <v>320000</v>
      </c>
      <c r="E93" s="2">
        <v>9600000000</v>
      </c>
      <c r="F93" s="2">
        <v>90000</v>
      </c>
      <c r="G93" s="1" t="s">
        <v>29</v>
      </c>
    </row>
    <row r="94" spans="1:7" x14ac:dyDescent="0.3">
      <c r="A94" s="1" t="s">
        <v>191</v>
      </c>
      <c r="B94" s="1" t="s">
        <v>188</v>
      </c>
      <c r="C94">
        <v>18000</v>
      </c>
      <c r="D94" s="2">
        <v>240000</v>
      </c>
      <c r="E94" s="2">
        <v>4320000000</v>
      </c>
      <c r="F94" s="2">
        <v>150000</v>
      </c>
      <c r="G94" s="1" t="s">
        <v>29</v>
      </c>
    </row>
    <row r="95" spans="1:7" x14ac:dyDescent="0.3">
      <c r="A95" s="1" t="s">
        <v>192</v>
      </c>
      <c r="B95" s="1" t="s">
        <v>193</v>
      </c>
      <c r="C95">
        <v>85000</v>
      </c>
      <c r="D95" s="2">
        <v>280000</v>
      </c>
      <c r="E95" s="2">
        <v>23800000000</v>
      </c>
      <c r="F95" s="2">
        <v>220000</v>
      </c>
      <c r="G95" s="1" t="s">
        <v>29</v>
      </c>
    </row>
    <row r="96" spans="1:7" x14ac:dyDescent="0.3">
      <c r="A96" s="1" t="s">
        <v>194</v>
      </c>
      <c r="B96" s="1" t="s">
        <v>193</v>
      </c>
      <c r="C96">
        <v>51000</v>
      </c>
      <c r="D96" s="2">
        <v>550000</v>
      </c>
      <c r="E96" s="2">
        <v>28050000000</v>
      </c>
      <c r="F96" s="2">
        <v>60000</v>
      </c>
      <c r="G96" s="1" t="s">
        <v>29</v>
      </c>
    </row>
    <row r="97" spans="1:7" x14ac:dyDescent="0.3">
      <c r="A97" s="1" t="s">
        <v>195</v>
      </c>
      <c r="B97" s="1" t="s">
        <v>196</v>
      </c>
      <c r="C97">
        <v>113000</v>
      </c>
      <c r="D97" s="2">
        <v>100000</v>
      </c>
      <c r="E97" s="2">
        <v>11300000000</v>
      </c>
      <c r="F97" s="2">
        <v>450000</v>
      </c>
      <c r="G97" s="1" t="s">
        <v>29</v>
      </c>
    </row>
    <row r="98" spans="1:7" x14ac:dyDescent="0.3">
      <c r="A98" s="1" t="s">
        <v>197</v>
      </c>
      <c r="B98" s="1" t="s">
        <v>196</v>
      </c>
      <c r="C98">
        <v>83000</v>
      </c>
      <c r="D98" s="2">
        <v>130000</v>
      </c>
      <c r="E98" s="2">
        <v>10790000000</v>
      </c>
      <c r="F98" s="2">
        <v>380000</v>
      </c>
      <c r="G98" s="1" t="s">
        <v>29</v>
      </c>
    </row>
    <row r="99" spans="1:7" x14ac:dyDescent="0.3">
      <c r="A99" s="1" t="s">
        <v>198</v>
      </c>
      <c r="B99" s="1" t="s">
        <v>196</v>
      </c>
      <c r="C99">
        <v>420</v>
      </c>
      <c r="D99" s="2">
        <v>80000</v>
      </c>
      <c r="E99" s="2">
        <v>33600000</v>
      </c>
      <c r="F99" s="2">
        <v>120000</v>
      </c>
      <c r="G99" s="1" t="s">
        <v>29</v>
      </c>
    </row>
    <row r="100" spans="1:7" x14ac:dyDescent="0.3">
      <c r="A100" s="1" t="s">
        <v>199</v>
      </c>
      <c r="B100" s="1" t="s">
        <v>196</v>
      </c>
      <c r="C100">
        <v>180</v>
      </c>
      <c r="D100" s="2">
        <v>70000</v>
      </c>
      <c r="E100" s="2">
        <v>12600000</v>
      </c>
      <c r="F100" s="2">
        <v>45000</v>
      </c>
      <c r="G100" s="1" t="s">
        <v>29</v>
      </c>
    </row>
    <row r="101" spans="1:7" x14ac:dyDescent="0.3">
      <c r="A101" s="1" t="s">
        <v>200</v>
      </c>
      <c r="B101" s="1" t="s">
        <v>201</v>
      </c>
      <c r="C101">
        <v>186000</v>
      </c>
      <c r="D101" s="2">
        <v>240000</v>
      </c>
      <c r="E101" s="2">
        <v>44640000000</v>
      </c>
      <c r="F101" s="2">
        <v>1500000</v>
      </c>
      <c r="G101" s="1" t="s">
        <v>29</v>
      </c>
    </row>
    <row r="102" spans="1:7" x14ac:dyDescent="0.3">
      <c r="A102" s="1" t="s">
        <v>202</v>
      </c>
      <c r="B102" s="1" t="s">
        <v>201</v>
      </c>
      <c r="C102">
        <v>149000</v>
      </c>
      <c r="D102" s="2">
        <v>250000</v>
      </c>
      <c r="E102" s="2">
        <v>37250000000</v>
      </c>
      <c r="F102" s="2">
        <v>1400000</v>
      </c>
      <c r="G102" s="1" t="s">
        <v>29</v>
      </c>
    </row>
    <row r="103" spans="1:7" x14ac:dyDescent="0.3">
      <c r="A103" s="1" t="s">
        <v>203</v>
      </c>
      <c r="B103" s="1" t="s">
        <v>201</v>
      </c>
      <c r="C103">
        <v>117000</v>
      </c>
      <c r="D103" s="2">
        <v>280000</v>
      </c>
      <c r="E103" s="2">
        <v>32760000000</v>
      </c>
      <c r="F103" s="2">
        <v>1200000</v>
      </c>
      <c r="G103" s="1" t="s">
        <v>29</v>
      </c>
    </row>
    <row r="104" spans="1:7" x14ac:dyDescent="0.3">
      <c r="A104" s="1" t="s">
        <v>204</v>
      </c>
      <c r="B104" s="1" t="s">
        <v>201</v>
      </c>
      <c r="C104">
        <v>27000</v>
      </c>
      <c r="D104" s="2">
        <v>220000</v>
      </c>
      <c r="E104" s="2">
        <v>5940000000</v>
      </c>
      <c r="F104" s="2">
        <v>1800000</v>
      </c>
      <c r="G104" s="1" t="s">
        <v>29</v>
      </c>
    </row>
    <row r="105" spans="1:7" x14ac:dyDescent="0.3">
      <c r="A105" s="1" t="s">
        <v>205</v>
      </c>
      <c r="B105" s="1" t="s">
        <v>201</v>
      </c>
      <c r="C105">
        <v>18000</v>
      </c>
      <c r="D105" s="2">
        <v>240000</v>
      </c>
      <c r="E105" s="2">
        <v>4320000000</v>
      </c>
      <c r="F105" s="2">
        <v>2400000</v>
      </c>
      <c r="G105" s="1" t="s">
        <v>29</v>
      </c>
    </row>
    <row r="106" spans="1:7" x14ac:dyDescent="0.3">
      <c r="A106" s="1" t="s">
        <v>206</v>
      </c>
      <c r="B106" s="1" t="s">
        <v>201</v>
      </c>
      <c r="C106">
        <v>9000</v>
      </c>
      <c r="D106" s="2">
        <v>280000</v>
      </c>
      <c r="E106" s="2">
        <v>2520000000</v>
      </c>
      <c r="F106" s="2">
        <v>900000</v>
      </c>
      <c r="G106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C374-176E-45A7-9BFD-7DBDBBBD21DC}">
  <dimension ref="A1:H106"/>
  <sheetViews>
    <sheetView workbookViewId="0">
      <selection activeCell="E4" sqref="E4"/>
    </sheetView>
  </sheetViews>
  <sheetFormatPr defaultRowHeight="14.4" x14ac:dyDescent="0.3"/>
  <cols>
    <col min="1" max="1" width="25.6640625" bestFit="1" customWidth="1"/>
    <col min="2" max="2" width="19.109375" bestFit="1" customWidth="1"/>
    <col min="3" max="3" width="12.33203125" bestFit="1" customWidth="1"/>
    <col min="4" max="4" width="20.6640625" bestFit="1" customWidth="1"/>
    <col min="5" max="5" width="32.44140625" bestFit="1" customWidth="1"/>
    <col min="6" max="6" width="22.21875" bestFit="1" customWidth="1"/>
    <col min="7" max="7" width="30.44140625" bestFit="1" customWidth="1"/>
    <col min="8" max="8" width="21.6640625" bestFit="1" customWidth="1"/>
  </cols>
  <sheetData>
    <row r="1" spans="1:8" x14ac:dyDescent="0.3">
      <c r="A1" t="s">
        <v>69</v>
      </c>
      <c r="B1" t="s">
        <v>70</v>
      </c>
      <c r="C1" t="s">
        <v>71</v>
      </c>
      <c r="D1" t="s">
        <v>229</v>
      </c>
      <c r="E1" t="s">
        <v>74</v>
      </c>
      <c r="F1" t="s">
        <v>230</v>
      </c>
      <c r="G1" t="s">
        <v>231</v>
      </c>
      <c r="H1" t="s">
        <v>232</v>
      </c>
    </row>
    <row r="2" spans="1:8" x14ac:dyDescent="0.3">
      <c r="A2" s="1" t="s">
        <v>116</v>
      </c>
      <c r="B2" s="1" t="s">
        <v>111</v>
      </c>
      <c r="C2">
        <v>30000</v>
      </c>
      <c r="D2">
        <v>2500000</v>
      </c>
      <c r="E2">
        <v>180000</v>
      </c>
      <c r="F2">
        <v>9000</v>
      </c>
      <c r="G2">
        <v>25</v>
      </c>
      <c r="H2">
        <v>45000</v>
      </c>
    </row>
    <row r="3" spans="1:8" x14ac:dyDescent="0.3">
      <c r="A3" s="1" t="s">
        <v>84</v>
      </c>
      <c r="B3" s="1" t="s">
        <v>82</v>
      </c>
      <c r="C3">
        <v>1700</v>
      </c>
      <c r="D3">
        <v>1800000</v>
      </c>
      <c r="E3">
        <v>150000</v>
      </c>
      <c r="F3">
        <v>7500</v>
      </c>
      <c r="G3">
        <v>25</v>
      </c>
      <c r="H3">
        <v>37500</v>
      </c>
    </row>
    <row r="4" spans="1:8" x14ac:dyDescent="0.3">
      <c r="A4" s="1" t="s">
        <v>85</v>
      </c>
      <c r="B4" s="1" t="s">
        <v>82</v>
      </c>
      <c r="C4">
        <v>700</v>
      </c>
      <c r="D4">
        <v>1500000</v>
      </c>
      <c r="E4">
        <v>80000</v>
      </c>
      <c r="F4">
        <v>4000</v>
      </c>
      <c r="G4">
        <v>25</v>
      </c>
      <c r="H4">
        <v>20000</v>
      </c>
    </row>
    <row r="5" spans="1:8" x14ac:dyDescent="0.3">
      <c r="A5" s="1" t="s">
        <v>88</v>
      </c>
      <c r="B5" s="1" t="s">
        <v>82</v>
      </c>
      <c r="C5">
        <v>50</v>
      </c>
      <c r="D5">
        <v>1200000</v>
      </c>
      <c r="E5">
        <v>40000</v>
      </c>
      <c r="F5">
        <v>2000</v>
      </c>
      <c r="G5">
        <v>25</v>
      </c>
      <c r="H5">
        <v>10000</v>
      </c>
    </row>
    <row r="6" spans="1:8" x14ac:dyDescent="0.3">
      <c r="A6" s="1" t="s">
        <v>87</v>
      </c>
      <c r="B6" s="1" t="s">
        <v>82</v>
      </c>
      <c r="C6">
        <v>80</v>
      </c>
      <c r="D6">
        <v>900000</v>
      </c>
      <c r="E6">
        <v>60000</v>
      </c>
      <c r="F6">
        <v>3000</v>
      </c>
      <c r="G6">
        <v>25</v>
      </c>
      <c r="H6">
        <v>15000</v>
      </c>
    </row>
    <row r="7" spans="1:8" x14ac:dyDescent="0.3">
      <c r="A7" s="1" t="s">
        <v>140</v>
      </c>
      <c r="B7" s="1" t="s">
        <v>134</v>
      </c>
      <c r="C7">
        <v>28000</v>
      </c>
      <c r="D7">
        <v>900000</v>
      </c>
      <c r="E7">
        <v>200000</v>
      </c>
      <c r="F7">
        <v>10000</v>
      </c>
      <c r="G7">
        <v>25</v>
      </c>
      <c r="H7">
        <v>50000</v>
      </c>
    </row>
    <row r="8" spans="1:8" x14ac:dyDescent="0.3">
      <c r="A8" s="1" t="s">
        <v>139</v>
      </c>
      <c r="B8" s="1" t="s">
        <v>134</v>
      </c>
      <c r="C8">
        <v>33000</v>
      </c>
      <c r="D8">
        <v>800000</v>
      </c>
      <c r="E8">
        <v>180000</v>
      </c>
      <c r="F8">
        <v>9000</v>
      </c>
      <c r="G8">
        <v>25</v>
      </c>
      <c r="H8">
        <v>45000</v>
      </c>
    </row>
    <row r="9" spans="1:8" x14ac:dyDescent="0.3">
      <c r="A9" s="1" t="s">
        <v>113</v>
      </c>
      <c r="B9" s="1" t="s">
        <v>111</v>
      </c>
      <c r="C9">
        <v>182000</v>
      </c>
      <c r="D9">
        <v>700000</v>
      </c>
      <c r="E9">
        <v>2800000</v>
      </c>
      <c r="F9">
        <v>140000</v>
      </c>
      <c r="G9">
        <v>25</v>
      </c>
      <c r="H9">
        <v>700000</v>
      </c>
    </row>
    <row r="10" spans="1:8" x14ac:dyDescent="0.3">
      <c r="A10" s="1" t="s">
        <v>114</v>
      </c>
      <c r="B10" s="1" t="s">
        <v>111</v>
      </c>
      <c r="C10">
        <v>164000</v>
      </c>
      <c r="D10">
        <v>650000</v>
      </c>
      <c r="E10">
        <v>3500000</v>
      </c>
      <c r="F10">
        <v>175000</v>
      </c>
      <c r="G10">
        <v>25</v>
      </c>
      <c r="H10">
        <v>875000</v>
      </c>
    </row>
    <row r="11" spans="1:8" x14ac:dyDescent="0.3">
      <c r="A11" s="1" t="s">
        <v>115</v>
      </c>
      <c r="B11" s="1" t="s">
        <v>111</v>
      </c>
      <c r="C11">
        <v>67000</v>
      </c>
      <c r="D11">
        <v>650000</v>
      </c>
      <c r="E11">
        <v>1200000</v>
      </c>
      <c r="F11">
        <v>60000</v>
      </c>
      <c r="G11">
        <v>25</v>
      </c>
      <c r="H11">
        <v>300000</v>
      </c>
    </row>
    <row r="12" spans="1:8" x14ac:dyDescent="0.3">
      <c r="A12" s="1" t="s">
        <v>86</v>
      </c>
      <c r="B12" s="1" t="s">
        <v>82</v>
      </c>
      <c r="C12">
        <v>300</v>
      </c>
      <c r="D12">
        <v>600000</v>
      </c>
      <c r="E12">
        <v>70000</v>
      </c>
      <c r="F12">
        <v>3500</v>
      </c>
      <c r="G12">
        <v>25</v>
      </c>
      <c r="H12">
        <v>17500</v>
      </c>
    </row>
    <row r="13" spans="1:8" x14ac:dyDescent="0.3">
      <c r="A13" s="1" t="s">
        <v>112</v>
      </c>
      <c r="B13" s="1" t="s">
        <v>111</v>
      </c>
      <c r="C13">
        <v>221000</v>
      </c>
      <c r="D13">
        <v>550000</v>
      </c>
      <c r="E13">
        <v>4200000</v>
      </c>
      <c r="F13">
        <v>210000</v>
      </c>
      <c r="G13">
        <v>25</v>
      </c>
      <c r="H13">
        <v>1050000</v>
      </c>
    </row>
    <row r="14" spans="1:8" x14ac:dyDescent="0.3">
      <c r="A14" s="1" t="s">
        <v>194</v>
      </c>
      <c r="B14" s="1" t="s">
        <v>193</v>
      </c>
      <c r="C14">
        <v>51000</v>
      </c>
      <c r="D14">
        <v>550000</v>
      </c>
      <c r="E14">
        <v>60000</v>
      </c>
      <c r="F14">
        <v>3000</v>
      </c>
      <c r="G14">
        <v>25</v>
      </c>
      <c r="H14">
        <v>15000</v>
      </c>
    </row>
    <row r="15" spans="1:8" x14ac:dyDescent="0.3">
      <c r="A15" s="1" t="s">
        <v>81</v>
      </c>
      <c r="B15" s="1" t="s">
        <v>82</v>
      </c>
      <c r="C15">
        <v>6500</v>
      </c>
      <c r="D15">
        <v>500000</v>
      </c>
      <c r="E15">
        <v>90000</v>
      </c>
      <c r="F15">
        <v>4500</v>
      </c>
      <c r="G15">
        <v>25</v>
      </c>
      <c r="H15">
        <v>22500</v>
      </c>
    </row>
    <row r="16" spans="1:8" x14ac:dyDescent="0.3">
      <c r="A16" s="1" t="s">
        <v>179</v>
      </c>
      <c r="B16" s="1" t="s">
        <v>175</v>
      </c>
      <c r="C16">
        <v>43000</v>
      </c>
      <c r="D16">
        <v>480000</v>
      </c>
      <c r="E16">
        <v>1800000</v>
      </c>
      <c r="F16">
        <v>90000</v>
      </c>
      <c r="G16">
        <v>25</v>
      </c>
      <c r="H16">
        <v>450000</v>
      </c>
    </row>
    <row r="17" spans="1:8" x14ac:dyDescent="0.3">
      <c r="A17" s="1" t="s">
        <v>131</v>
      </c>
      <c r="B17" s="1" t="s">
        <v>130</v>
      </c>
      <c r="C17">
        <v>45000</v>
      </c>
      <c r="D17">
        <v>480000</v>
      </c>
      <c r="E17">
        <v>2100000</v>
      </c>
      <c r="F17">
        <v>105000</v>
      </c>
      <c r="G17">
        <v>25</v>
      </c>
      <c r="H17">
        <v>525000</v>
      </c>
    </row>
    <row r="18" spans="1:8" x14ac:dyDescent="0.3">
      <c r="A18" s="1" t="s">
        <v>129</v>
      </c>
      <c r="B18" s="1" t="s">
        <v>130</v>
      </c>
      <c r="C18">
        <v>62000</v>
      </c>
      <c r="D18">
        <v>460000</v>
      </c>
      <c r="E18">
        <v>3200000</v>
      </c>
      <c r="F18">
        <v>160000</v>
      </c>
      <c r="G18">
        <v>25</v>
      </c>
      <c r="H18">
        <v>800000</v>
      </c>
    </row>
    <row r="19" spans="1:8" x14ac:dyDescent="0.3">
      <c r="A19" s="1" t="s">
        <v>83</v>
      </c>
      <c r="B19" s="1" t="s">
        <v>82</v>
      </c>
      <c r="C19">
        <v>4000</v>
      </c>
      <c r="D19">
        <v>450000</v>
      </c>
      <c r="E19">
        <v>120000</v>
      </c>
      <c r="F19">
        <v>6000</v>
      </c>
      <c r="G19">
        <v>25</v>
      </c>
      <c r="H19">
        <v>30000</v>
      </c>
    </row>
    <row r="20" spans="1:8" x14ac:dyDescent="0.3">
      <c r="A20" s="1" t="s">
        <v>178</v>
      </c>
      <c r="B20" s="1" t="s">
        <v>175</v>
      </c>
      <c r="C20">
        <v>50000</v>
      </c>
      <c r="D20">
        <v>400000</v>
      </c>
      <c r="E20">
        <v>1700000</v>
      </c>
      <c r="F20">
        <v>85000</v>
      </c>
      <c r="G20">
        <v>25</v>
      </c>
      <c r="H20">
        <v>425000</v>
      </c>
    </row>
    <row r="21" spans="1:8" x14ac:dyDescent="0.3">
      <c r="A21" s="1" t="s">
        <v>172</v>
      </c>
      <c r="B21" s="1" t="s">
        <v>171</v>
      </c>
      <c r="C21">
        <v>13000</v>
      </c>
      <c r="D21">
        <v>400000</v>
      </c>
      <c r="E21">
        <v>180000</v>
      </c>
      <c r="F21">
        <v>9000</v>
      </c>
      <c r="G21">
        <v>25</v>
      </c>
      <c r="H21">
        <v>45000</v>
      </c>
    </row>
    <row r="22" spans="1:8" x14ac:dyDescent="0.3">
      <c r="A22" s="1" t="s">
        <v>176</v>
      </c>
      <c r="B22" s="1" t="s">
        <v>175</v>
      </c>
      <c r="C22">
        <v>83000</v>
      </c>
      <c r="D22">
        <v>350000</v>
      </c>
      <c r="E22">
        <v>2400000</v>
      </c>
      <c r="F22">
        <v>120000</v>
      </c>
      <c r="G22">
        <v>22.18</v>
      </c>
      <c r="H22">
        <v>532386</v>
      </c>
    </row>
    <row r="23" spans="1:8" x14ac:dyDescent="0.3">
      <c r="A23" s="1" t="s">
        <v>137</v>
      </c>
      <c r="B23" s="1" t="s">
        <v>134</v>
      </c>
      <c r="C23">
        <v>45000</v>
      </c>
      <c r="D23">
        <v>350000</v>
      </c>
      <c r="E23">
        <v>600000</v>
      </c>
      <c r="F23">
        <v>30000</v>
      </c>
      <c r="G23">
        <v>22.18</v>
      </c>
      <c r="H23">
        <v>133097</v>
      </c>
    </row>
    <row r="24" spans="1:8" x14ac:dyDescent="0.3">
      <c r="A24" s="1" t="s">
        <v>132</v>
      </c>
      <c r="B24" s="1" t="s">
        <v>130</v>
      </c>
      <c r="C24">
        <v>18000</v>
      </c>
      <c r="D24">
        <v>350000</v>
      </c>
      <c r="E24">
        <v>1800000</v>
      </c>
      <c r="F24">
        <v>90000</v>
      </c>
      <c r="G24">
        <v>22.18</v>
      </c>
      <c r="H24">
        <v>399290</v>
      </c>
    </row>
    <row r="25" spans="1:8" x14ac:dyDescent="0.3">
      <c r="A25" s="1" t="s">
        <v>177</v>
      </c>
      <c r="B25" s="1" t="s">
        <v>175</v>
      </c>
      <c r="C25">
        <v>71000</v>
      </c>
      <c r="D25">
        <v>320000</v>
      </c>
      <c r="E25">
        <v>1900000</v>
      </c>
      <c r="F25">
        <v>95000</v>
      </c>
      <c r="G25">
        <v>18.59</v>
      </c>
      <c r="H25">
        <v>353216</v>
      </c>
    </row>
    <row r="26" spans="1:8" x14ac:dyDescent="0.3">
      <c r="A26" s="1" t="s">
        <v>190</v>
      </c>
      <c r="B26" s="1" t="s">
        <v>188</v>
      </c>
      <c r="C26">
        <v>30000</v>
      </c>
      <c r="D26">
        <v>320000</v>
      </c>
      <c r="E26">
        <v>90000</v>
      </c>
      <c r="F26">
        <v>4500</v>
      </c>
      <c r="G26">
        <v>18.59</v>
      </c>
      <c r="H26">
        <v>16731</v>
      </c>
    </row>
    <row r="27" spans="1:8" x14ac:dyDescent="0.3">
      <c r="A27" s="1" t="s">
        <v>156</v>
      </c>
      <c r="B27" s="1" t="s">
        <v>154</v>
      </c>
      <c r="C27">
        <v>6900</v>
      </c>
      <c r="D27">
        <v>290000</v>
      </c>
      <c r="E27">
        <v>25000</v>
      </c>
      <c r="F27">
        <v>1250</v>
      </c>
      <c r="G27">
        <v>15.22</v>
      </c>
      <c r="H27">
        <v>3804</v>
      </c>
    </row>
    <row r="28" spans="1:8" x14ac:dyDescent="0.3">
      <c r="A28" s="1" t="s">
        <v>174</v>
      </c>
      <c r="B28" s="1" t="s">
        <v>175</v>
      </c>
      <c r="C28">
        <v>131000</v>
      </c>
      <c r="D28">
        <v>280000</v>
      </c>
      <c r="E28">
        <v>3100000</v>
      </c>
      <c r="F28">
        <v>155000</v>
      </c>
      <c r="G28">
        <v>14.14</v>
      </c>
      <c r="H28">
        <v>438406</v>
      </c>
    </row>
    <row r="29" spans="1:8" x14ac:dyDescent="0.3">
      <c r="A29" s="1" t="s">
        <v>133</v>
      </c>
      <c r="B29" s="1" t="s">
        <v>134</v>
      </c>
      <c r="C29">
        <v>300000</v>
      </c>
      <c r="D29">
        <v>280000</v>
      </c>
      <c r="E29">
        <v>4500000</v>
      </c>
      <c r="F29">
        <v>225000</v>
      </c>
      <c r="G29">
        <v>14.14</v>
      </c>
      <c r="H29">
        <v>636396</v>
      </c>
    </row>
    <row r="30" spans="1:8" x14ac:dyDescent="0.3">
      <c r="A30" s="1" t="s">
        <v>206</v>
      </c>
      <c r="B30" s="1" t="s">
        <v>201</v>
      </c>
      <c r="C30">
        <v>9000</v>
      </c>
      <c r="D30">
        <v>280000</v>
      </c>
      <c r="E30">
        <v>900000</v>
      </c>
      <c r="F30">
        <v>45000</v>
      </c>
      <c r="G30">
        <v>14.14</v>
      </c>
      <c r="H30">
        <v>127279</v>
      </c>
    </row>
    <row r="31" spans="1:8" x14ac:dyDescent="0.3">
      <c r="A31" s="1" t="s">
        <v>203</v>
      </c>
      <c r="B31" s="1" t="s">
        <v>201</v>
      </c>
      <c r="C31">
        <v>117000</v>
      </c>
      <c r="D31">
        <v>280000</v>
      </c>
      <c r="E31">
        <v>1200000</v>
      </c>
      <c r="F31">
        <v>60000</v>
      </c>
      <c r="G31">
        <v>14.14</v>
      </c>
      <c r="H31">
        <v>169706</v>
      </c>
    </row>
    <row r="32" spans="1:8" x14ac:dyDescent="0.3">
      <c r="A32" s="1" t="s">
        <v>160</v>
      </c>
      <c r="B32" s="1" t="s">
        <v>159</v>
      </c>
      <c r="C32">
        <v>57000</v>
      </c>
      <c r="D32">
        <v>280000</v>
      </c>
      <c r="E32">
        <v>500000</v>
      </c>
      <c r="F32">
        <v>25000</v>
      </c>
      <c r="G32">
        <v>14.14</v>
      </c>
      <c r="H32">
        <v>70711</v>
      </c>
    </row>
    <row r="33" spans="1:8" x14ac:dyDescent="0.3">
      <c r="A33" s="1" t="s">
        <v>128</v>
      </c>
      <c r="B33" s="1" t="s">
        <v>127</v>
      </c>
      <c r="C33">
        <v>1000</v>
      </c>
      <c r="D33">
        <v>280000</v>
      </c>
      <c r="E33">
        <v>25000</v>
      </c>
      <c r="F33">
        <v>1250</v>
      </c>
      <c r="G33">
        <v>14.14</v>
      </c>
      <c r="H33">
        <v>3536</v>
      </c>
    </row>
    <row r="34" spans="1:8" x14ac:dyDescent="0.3">
      <c r="A34" s="1" t="s">
        <v>192</v>
      </c>
      <c r="B34" s="1" t="s">
        <v>193</v>
      </c>
      <c r="C34">
        <v>85000</v>
      </c>
      <c r="D34">
        <v>280000</v>
      </c>
      <c r="E34">
        <v>220000</v>
      </c>
      <c r="F34">
        <v>11000</v>
      </c>
      <c r="G34">
        <v>14.14</v>
      </c>
      <c r="H34">
        <v>31113</v>
      </c>
    </row>
    <row r="35" spans="1:8" x14ac:dyDescent="0.3">
      <c r="A35" s="1" t="s">
        <v>187</v>
      </c>
      <c r="B35" s="1" t="s">
        <v>188</v>
      </c>
      <c r="C35">
        <v>163000</v>
      </c>
      <c r="D35">
        <v>260000</v>
      </c>
      <c r="E35">
        <v>280000</v>
      </c>
      <c r="F35">
        <v>14000</v>
      </c>
      <c r="G35">
        <v>12.07</v>
      </c>
      <c r="H35">
        <v>33809</v>
      </c>
    </row>
    <row r="36" spans="1:8" x14ac:dyDescent="0.3">
      <c r="A36" s="1" t="s">
        <v>138</v>
      </c>
      <c r="B36" s="1" t="s">
        <v>134</v>
      </c>
      <c r="C36">
        <v>35000</v>
      </c>
      <c r="D36">
        <v>250000</v>
      </c>
      <c r="E36">
        <v>400000</v>
      </c>
      <c r="F36">
        <v>20000</v>
      </c>
      <c r="G36">
        <v>11.08</v>
      </c>
      <c r="H36">
        <v>44331</v>
      </c>
    </row>
    <row r="37" spans="1:8" x14ac:dyDescent="0.3">
      <c r="A37" s="1" t="s">
        <v>202</v>
      </c>
      <c r="B37" s="1" t="s">
        <v>201</v>
      </c>
      <c r="C37">
        <v>149000</v>
      </c>
      <c r="D37">
        <v>250000</v>
      </c>
      <c r="E37">
        <v>1400000</v>
      </c>
      <c r="F37">
        <v>70000</v>
      </c>
      <c r="G37">
        <v>11.08</v>
      </c>
      <c r="H37">
        <v>155157</v>
      </c>
    </row>
    <row r="38" spans="1:8" x14ac:dyDescent="0.3">
      <c r="A38" s="1" t="s">
        <v>205</v>
      </c>
      <c r="B38" s="1" t="s">
        <v>201</v>
      </c>
      <c r="C38">
        <v>18000</v>
      </c>
      <c r="D38">
        <v>240000</v>
      </c>
      <c r="E38">
        <v>2400000</v>
      </c>
      <c r="F38">
        <v>120000</v>
      </c>
      <c r="G38">
        <v>10.119999999999999</v>
      </c>
      <c r="H38">
        <v>242863</v>
      </c>
    </row>
    <row r="39" spans="1:8" x14ac:dyDescent="0.3">
      <c r="A39" s="1" t="s">
        <v>200</v>
      </c>
      <c r="B39" s="1" t="s">
        <v>201</v>
      </c>
      <c r="C39">
        <v>186000</v>
      </c>
      <c r="D39">
        <v>240000</v>
      </c>
      <c r="E39">
        <v>1500000</v>
      </c>
      <c r="F39">
        <v>75000</v>
      </c>
      <c r="G39">
        <v>10.119999999999999</v>
      </c>
      <c r="H39">
        <v>151789</v>
      </c>
    </row>
    <row r="40" spans="1:8" x14ac:dyDescent="0.3">
      <c r="A40" s="1" t="s">
        <v>191</v>
      </c>
      <c r="B40" s="1" t="s">
        <v>188</v>
      </c>
      <c r="C40">
        <v>18000</v>
      </c>
      <c r="D40">
        <v>240000</v>
      </c>
      <c r="E40">
        <v>150000</v>
      </c>
      <c r="F40">
        <v>7500</v>
      </c>
      <c r="G40">
        <v>10.119999999999999</v>
      </c>
      <c r="H40">
        <v>15179</v>
      </c>
    </row>
    <row r="41" spans="1:8" x14ac:dyDescent="0.3">
      <c r="A41" s="1" t="s">
        <v>204</v>
      </c>
      <c r="B41" s="1" t="s">
        <v>201</v>
      </c>
      <c r="C41">
        <v>27000</v>
      </c>
      <c r="D41">
        <v>220000</v>
      </c>
      <c r="E41">
        <v>1800000</v>
      </c>
      <c r="F41">
        <v>90000</v>
      </c>
      <c r="G41">
        <v>8.2799999999999994</v>
      </c>
      <c r="H41">
        <v>149085</v>
      </c>
    </row>
    <row r="42" spans="1:8" x14ac:dyDescent="0.3">
      <c r="A42" s="1" t="s">
        <v>170</v>
      </c>
      <c r="B42" s="1" t="s">
        <v>171</v>
      </c>
      <c r="C42">
        <v>225000</v>
      </c>
      <c r="D42">
        <v>220000</v>
      </c>
      <c r="E42">
        <v>450000</v>
      </c>
      <c r="F42">
        <v>22500</v>
      </c>
      <c r="G42">
        <v>8.2799999999999994</v>
      </c>
      <c r="H42">
        <v>37271</v>
      </c>
    </row>
    <row r="43" spans="1:8" x14ac:dyDescent="0.3">
      <c r="A43" s="1" t="s">
        <v>189</v>
      </c>
      <c r="B43" s="1" t="s">
        <v>188</v>
      </c>
      <c r="C43">
        <v>72000</v>
      </c>
      <c r="D43">
        <v>220000</v>
      </c>
      <c r="E43">
        <v>180000</v>
      </c>
      <c r="F43">
        <v>9000</v>
      </c>
      <c r="G43">
        <v>8.2799999999999994</v>
      </c>
      <c r="H43">
        <v>14909</v>
      </c>
    </row>
    <row r="44" spans="1:8" x14ac:dyDescent="0.3">
      <c r="A44" s="1" t="s">
        <v>136</v>
      </c>
      <c r="B44" s="1" t="s">
        <v>134</v>
      </c>
      <c r="C44">
        <v>213000</v>
      </c>
      <c r="D44">
        <v>210000</v>
      </c>
      <c r="E44">
        <v>3800000</v>
      </c>
      <c r="F44">
        <v>190000</v>
      </c>
      <c r="G44">
        <v>7.41</v>
      </c>
      <c r="H44">
        <v>281623</v>
      </c>
    </row>
    <row r="45" spans="1:8" x14ac:dyDescent="0.3">
      <c r="A45" s="1" t="s">
        <v>99</v>
      </c>
      <c r="B45" s="1" t="s">
        <v>96</v>
      </c>
      <c r="C45">
        <v>8000</v>
      </c>
      <c r="D45">
        <v>200000</v>
      </c>
      <c r="E45">
        <v>150000</v>
      </c>
      <c r="F45">
        <v>7500</v>
      </c>
      <c r="G45">
        <v>6.57</v>
      </c>
      <c r="H45">
        <v>9859</v>
      </c>
    </row>
    <row r="46" spans="1:8" x14ac:dyDescent="0.3">
      <c r="A46" s="1" t="s">
        <v>135</v>
      </c>
      <c r="B46" s="1" t="s">
        <v>134</v>
      </c>
      <c r="C46">
        <v>225000</v>
      </c>
      <c r="D46">
        <v>190000</v>
      </c>
      <c r="E46">
        <v>3200000</v>
      </c>
      <c r="F46">
        <v>160000</v>
      </c>
      <c r="G46">
        <v>5.77</v>
      </c>
      <c r="H46">
        <v>184590</v>
      </c>
    </row>
    <row r="47" spans="1:8" x14ac:dyDescent="0.3">
      <c r="A47" s="1" t="s">
        <v>110</v>
      </c>
      <c r="B47" s="1" t="s">
        <v>111</v>
      </c>
      <c r="C47">
        <v>1540000</v>
      </c>
      <c r="D47">
        <v>180000</v>
      </c>
      <c r="E47">
        <v>8500000</v>
      </c>
      <c r="F47">
        <v>425000</v>
      </c>
      <c r="G47">
        <v>5</v>
      </c>
      <c r="H47">
        <v>425000</v>
      </c>
    </row>
    <row r="48" spans="1:8" x14ac:dyDescent="0.3">
      <c r="A48" s="1" t="s">
        <v>147</v>
      </c>
      <c r="B48" s="1" t="s">
        <v>146</v>
      </c>
      <c r="C48">
        <v>102000</v>
      </c>
      <c r="D48">
        <v>180000</v>
      </c>
      <c r="E48">
        <v>900000</v>
      </c>
      <c r="F48">
        <v>45000</v>
      </c>
      <c r="G48">
        <v>5</v>
      </c>
      <c r="H48">
        <v>45000</v>
      </c>
    </row>
    <row r="49" spans="1:8" x14ac:dyDescent="0.3">
      <c r="A49" s="1" t="s">
        <v>173</v>
      </c>
      <c r="B49" s="1" t="s">
        <v>171</v>
      </c>
      <c r="C49">
        <v>9000</v>
      </c>
      <c r="D49">
        <v>180000</v>
      </c>
      <c r="E49">
        <v>90000</v>
      </c>
      <c r="F49">
        <v>4500</v>
      </c>
      <c r="G49">
        <v>5</v>
      </c>
      <c r="H49">
        <v>4500</v>
      </c>
    </row>
    <row r="50" spans="1:8" x14ac:dyDescent="0.3">
      <c r="A50" s="1" t="s">
        <v>126</v>
      </c>
      <c r="B50" s="1" t="s">
        <v>127</v>
      </c>
      <c r="C50">
        <v>3500</v>
      </c>
      <c r="D50">
        <v>180000</v>
      </c>
      <c r="E50">
        <v>40000</v>
      </c>
      <c r="F50">
        <v>2000</v>
      </c>
      <c r="G50">
        <v>5</v>
      </c>
      <c r="H50">
        <v>2000</v>
      </c>
    </row>
    <row r="51" spans="1:8" x14ac:dyDescent="0.3">
      <c r="A51" s="1" t="s">
        <v>145</v>
      </c>
      <c r="B51" s="1" t="s">
        <v>146</v>
      </c>
      <c r="C51">
        <v>400000</v>
      </c>
      <c r="D51">
        <v>160000</v>
      </c>
      <c r="E51">
        <v>3500000</v>
      </c>
      <c r="F51">
        <v>175000</v>
      </c>
      <c r="G51">
        <v>3.58</v>
      </c>
      <c r="H51">
        <v>125220</v>
      </c>
    </row>
    <row r="52" spans="1:8" x14ac:dyDescent="0.3">
      <c r="A52" s="1" t="s">
        <v>158</v>
      </c>
      <c r="B52" s="1" t="s">
        <v>159</v>
      </c>
      <c r="C52">
        <v>59000</v>
      </c>
      <c r="D52">
        <v>160000</v>
      </c>
      <c r="E52">
        <v>650000</v>
      </c>
      <c r="F52">
        <v>32500</v>
      </c>
      <c r="G52">
        <v>3.58</v>
      </c>
      <c r="H52">
        <v>23255</v>
      </c>
    </row>
    <row r="53" spans="1:8" x14ac:dyDescent="0.3">
      <c r="A53" s="1" t="s">
        <v>97</v>
      </c>
      <c r="B53" s="1" t="s">
        <v>96</v>
      </c>
      <c r="C53">
        <v>140000</v>
      </c>
      <c r="D53">
        <v>150000</v>
      </c>
      <c r="E53">
        <v>1200000</v>
      </c>
      <c r="F53">
        <v>60000</v>
      </c>
      <c r="G53">
        <v>2.93</v>
      </c>
      <c r="H53">
        <v>35140</v>
      </c>
    </row>
    <row r="54" spans="1:8" x14ac:dyDescent="0.3">
      <c r="A54" s="1" t="s">
        <v>141</v>
      </c>
      <c r="B54" s="1" t="s">
        <v>134</v>
      </c>
      <c r="C54">
        <v>850</v>
      </c>
      <c r="D54">
        <v>140000</v>
      </c>
      <c r="E54">
        <v>80000</v>
      </c>
      <c r="F54">
        <v>4000</v>
      </c>
      <c r="G54">
        <v>2.3199999999999998</v>
      </c>
      <c r="H54">
        <v>1859</v>
      </c>
    </row>
    <row r="55" spans="1:8" x14ac:dyDescent="0.3">
      <c r="A55" s="1" t="s">
        <v>148</v>
      </c>
      <c r="B55" s="1" t="s">
        <v>146</v>
      </c>
      <c r="C55">
        <v>94000</v>
      </c>
      <c r="D55">
        <v>140000</v>
      </c>
      <c r="E55">
        <v>650000</v>
      </c>
      <c r="F55">
        <v>32500</v>
      </c>
      <c r="G55">
        <v>2.3199999999999998</v>
      </c>
      <c r="H55">
        <v>15105</v>
      </c>
    </row>
    <row r="56" spans="1:8" x14ac:dyDescent="0.3">
      <c r="A56" s="1" t="s">
        <v>167</v>
      </c>
      <c r="B56" s="1" t="s">
        <v>164</v>
      </c>
      <c r="C56">
        <v>31000</v>
      </c>
      <c r="D56">
        <v>140000</v>
      </c>
      <c r="E56">
        <v>220000</v>
      </c>
      <c r="F56">
        <v>11000</v>
      </c>
      <c r="G56">
        <v>2.3199999999999998</v>
      </c>
      <c r="H56">
        <v>5112</v>
      </c>
    </row>
    <row r="57" spans="1:8" x14ac:dyDescent="0.3">
      <c r="A57" s="1" t="s">
        <v>162</v>
      </c>
      <c r="B57" s="1" t="s">
        <v>159</v>
      </c>
      <c r="C57">
        <v>24000</v>
      </c>
      <c r="D57">
        <v>140000</v>
      </c>
      <c r="E57">
        <v>320000</v>
      </c>
      <c r="F57">
        <v>16000</v>
      </c>
      <c r="G57">
        <v>2.3199999999999998</v>
      </c>
      <c r="H57">
        <v>7436</v>
      </c>
    </row>
    <row r="58" spans="1:8" x14ac:dyDescent="0.3">
      <c r="A58" s="1" t="s">
        <v>95</v>
      </c>
      <c r="B58" s="1" t="s">
        <v>96</v>
      </c>
      <c r="C58">
        <v>320000</v>
      </c>
      <c r="D58">
        <v>130000</v>
      </c>
      <c r="E58">
        <v>1800000</v>
      </c>
      <c r="F58">
        <v>90000</v>
      </c>
      <c r="G58">
        <v>1.77</v>
      </c>
      <c r="H58">
        <v>31820</v>
      </c>
    </row>
    <row r="59" spans="1:8" x14ac:dyDescent="0.3">
      <c r="A59" s="1" t="s">
        <v>197</v>
      </c>
      <c r="B59" s="1" t="s">
        <v>196</v>
      </c>
      <c r="C59">
        <v>83000</v>
      </c>
      <c r="D59">
        <v>130000</v>
      </c>
      <c r="E59">
        <v>380000</v>
      </c>
      <c r="F59">
        <v>19000</v>
      </c>
      <c r="G59">
        <v>1.77</v>
      </c>
      <c r="H59">
        <v>6718</v>
      </c>
    </row>
    <row r="60" spans="1:8" x14ac:dyDescent="0.3">
      <c r="A60" s="1" t="s">
        <v>161</v>
      </c>
      <c r="B60" s="1" t="s">
        <v>159</v>
      </c>
      <c r="C60">
        <v>53000</v>
      </c>
      <c r="D60">
        <v>130000</v>
      </c>
      <c r="E60">
        <v>400000</v>
      </c>
      <c r="F60">
        <v>20000</v>
      </c>
      <c r="G60">
        <v>1.77</v>
      </c>
      <c r="H60">
        <v>7071</v>
      </c>
    </row>
    <row r="61" spans="1:8" x14ac:dyDescent="0.3">
      <c r="A61" s="1" t="s">
        <v>125</v>
      </c>
      <c r="B61" s="1" t="s">
        <v>124</v>
      </c>
      <c r="C61">
        <v>122000</v>
      </c>
      <c r="D61">
        <v>130000</v>
      </c>
      <c r="E61">
        <v>120000</v>
      </c>
      <c r="F61">
        <v>6000</v>
      </c>
      <c r="G61">
        <v>1.77</v>
      </c>
      <c r="H61">
        <v>2121</v>
      </c>
    </row>
    <row r="62" spans="1:8" x14ac:dyDescent="0.3">
      <c r="A62" s="1" t="s">
        <v>98</v>
      </c>
      <c r="B62" s="1" t="s">
        <v>96</v>
      </c>
      <c r="C62">
        <v>90000</v>
      </c>
      <c r="D62">
        <v>110000</v>
      </c>
      <c r="E62">
        <v>400000</v>
      </c>
      <c r="F62">
        <v>20000</v>
      </c>
      <c r="G62">
        <v>0.82</v>
      </c>
      <c r="H62">
        <v>3286</v>
      </c>
    </row>
    <row r="63" spans="1:8" x14ac:dyDescent="0.3">
      <c r="A63" s="1" t="s">
        <v>91</v>
      </c>
      <c r="B63" s="1" t="s">
        <v>90</v>
      </c>
      <c r="C63">
        <v>210000</v>
      </c>
      <c r="D63">
        <v>110000</v>
      </c>
      <c r="E63">
        <v>4500000</v>
      </c>
      <c r="F63">
        <v>225000</v>
      </c>
      <c r="G63">
        <v>0.82</v>
      </c>
      <c r="H63">
        <v>36971</v>
      </c>
    </row>
    <row r="64" spans="1:8" x14ac:dyDescent="0.3">
      <c r="A64" s="1" t="s">
        <v>123</v>
      </c>
      <c r="B64" s="1" t="s">
        <v>124</v>
      </c>
      <c r="C64">
        <v>185000</v>
      </c>
      <c r="D64">
        <v>110000</v>
      </c>
      <c r="E64">
        <v>90000</v>
      </c>
      <c r="F64">
        <v>4500</v>
      </c>
      <c r="G64">
        <v>0.82</v>
      </c>
      <c r="H64">
        <v>739</v>
      </c>
    </row>
    <row r="65" spans="1:8" x14ac:dyDescent="0.3">
      <c r="A65" s="1" t="s">
        <v>144</v>
      </c>
      <c r="B65" s="1" t="s">
        <v>143</v>
      </c>
      <c r="C65">
        <v>28000</v>
      </c>
      <c r="D65">
        <v>110000</v>
      </c>
      <c r="E65">
        <v>180000</v>
      </c>
      <c r="F65">
        <v>9000</v>
      </c>
      <c r="G65">
        <v>0.82</v>
      </c>
      <c r="H65">
        <v>1479</v>
      </c>
    </row>
    <row r="66" spans="1:8" x14ac:dyDescent="0.3">
      <c r="A66" s="1" t="s">
        <v>94</v>
      </c>
      <c r="B66" s="1" t="s">
        <v>90</v>
      </c>
      <c r="C66">
        <v>48000</v>
      </c>
      <c r="D66">
        <v>100000</v>
      </c>
      <c r="E66">
        <v>1900000</v>
      </c>
      <c r="F66">
        <v>95000</v>
      </c>
      <c r="G66">
        <v>0.45</v>
      </c>
      <c r="H66">
        <v>8497</v>
      </c>
    </row>
    <row r="67" spans="1:8" x14ac:dyDescent="0.3">
      <c r="A67" s="1" t="s">
        <v>195</v>
      </c>
      <c r="B67" s="1" t="s">
        <v>196</v>
      </c>
      <c r="C67">
        <v>113000</v>
      </c>
      <c r="D67">
        <v>100000</v>
      </c>
      <c r="E67">
        <v>450000</v>
      </c>
      <c r="F67">
        <v>22500</v>
      </c>
      <c r="G67">
        <v>0.45</v>
      </c>
      <c r="H67">
        <v>2012</v>
      </c>
    </row>
    <row r="68" spans="1:8" x14ac:dyDescent="0.3">
      <c r="A68" s="1" t="s">
        <v>149</v>
      </c>
      <c r="B68" s="1" t="s">
        <v>150</v>
      </c>
      <c r="C68">
        <v>280000</v>
      </c>
      <c r="D68">
        <v>100000</v>
      </c>
      <c r="E68">
        <v>3800000</v>
      </c>
      <c r="F68">
        <v>190000</v>
      </c>
      <c r="G68">
        <v>0.45</v>
      </c>
      <c r="H68">
        <v>16994</v>
      </c>
    </row>
    <row r="69" spans="1:8" x14ac:dyDescent="0.3">
      <c r="A69" s="1" t="s">
        <v>122</v>
      </c>
      <c r="B69" s="1" t="s">
        <v>121</v>
      </c>
      <c r="C69">
        <v>11000</v>
      </c>
      <c r="D69">
        <v>100000</v>
      </c>
      <c r="E69">
        <v>90000</v>
      </c>
      <c r="F69">
        <v>4500</v>
      </c>
      <c r="G69">
        <v>0.45</v>
      </c>
      <c r="H69">
        <v>402</v>
      </c>
    </row>
    <row r="70" spans="1:8" x14ac:dyDescent="0.3">
      <c r="A70" s="1" t="s">
        <v>151</v>
      </c>
      <c r="B70" s="1" t="s">
        <v>150</v>
      </c>
      <c r="C70">
        <v>72000</v>
      </c>
      <c r="D70">
        <v>95000</v>
      </c>
      <c r="E70">
        <v>2200000</v>
      </c>
      <c r="F70">
        <v>110000</v>
      </c>
      <c r="G70">
        <v>0.28999999999999998</v>
      </c>
      <c r="H70">
        <v>6390</v>
      </c>
    </row>
    <row r="71" spans="1:8" x14ac:dyDescent="0.3">
      <c r="A71" s="1" t="s">
        <v>93</v>
      </c>
      <c r="B71" s="1" t="s">
        <v>90</v>
      </c>
      <c r="C71">
        <v>163000</v>
      </c>
      <c r="D71">
        <v>90000</v>
      </c>
      <c r="E71">
        <v>3400000</v>
      </c>
      <c r="F71">
        <v>170000</v>
      </c>
      <c r="G71">
        <v>0.16</v>
      </c>
      <c r="H71">
        <v>5376</v>
      </c>
    </row>
    <row r="72" spans="1:8" x14ac:dyDescent="0.3">
      <c r="A72" s="1" t="s">
        <v>120</v>
      </c>
      <c r="B72" s="1" t="s">
        <v>121</v>
      </c>
      <c r="C72">
        <v>12000</v>
      </c>
      <c r="D72">
        <v>90000</v>
      </c>
      <c r="E72">
        <v>100000</v>
      </c>
      <c r="F72">
        <v>5000</v>
      </c>
      <c r="G72">
        <v>0.16</v>
      </c>
      <c r="H72">
        <v>158</v>
      </c>
    </row>
    <row r="73" spans="1:8" x14ac:dyDescent="0.3">
      <c r="A73" s="1" t="s">
        <v>76</v>
      </c>
      <c r="B73" s="1" t="s">
        <v>77</v>
      </c>
      <c r="C73">
        <v>160000</v>
      </c>
      <c r="D73">
        <v>90000</v>
      </c>
      <c r="E73">
        <v>1200000</v>
      </c>
      <c r="F73">
        <v>60000</v>
      </c>
      <c r="G73">
        <v>0.16</v>
      </c>
      <c r="H73">
        <v>1897</v>
      </c>
    </row>
    <row r="74" spans="1:8" x14ac:dyDescent="0.3">
      <c r="A74" s="1" t="s">
        <v>89</v>
      </c>
      <c r="B74" s="1" t="s">
        <v>90</v>
      </c>
      <c r="C74">
        <v>250000</v>
      </c>
      <c r="D74">
        <v>85000</v>
      </c>
      <c r="E74">
        <v>2100000</v>
      </c>
      <c r="F74">
        <v>105000</v>
      </c>
      <c r="G74">
        <v>0.06</v>
      </c>
      <c r="H74">
        <v>1174</v>
      </c>
    </row>
    <row r="75" spans="1:8" x14ac:dyDescent="0.3">
      <c r="A75" s="1" t="s">
        <v>152</v>
      </c>
      <c r="B75" s="1" t="s">
        <v>150</v>
      </c>
      <c r="C75">
        <v>30000</v>
      </c>
      <c r="D75">
        <v>85000</v>
      </c>
      <c r="E75">
        <v>1200000</v>
      </c>
      <c r="F75">
        <v>60000</v>
      </c>
      <c r="G75">
        <v>0.06</v>
      </c>
      <c r="H75">
        <v>671</v>
      </c>
    </row>
    <row r="76" spans="1:8" x14ac:dyDescent="0.3">
      <c r="A76" s="1" t="s">
        <v>168</v>
      </c>
      <c r="B76" s="1" t="s">
        <v>164</v>
      </c>
      <c r="C76">
        <v>3000</v>
      </c>
      <c r="D76">
        <v>85000</v>
      </c>
      <c r="E76">
        <v>80000</v>
      </c>
      <c r="F76">
        <v>4000</v>
      </c>
      <c r="G76">
        <v>0.06</v>
      </c>
      <c r="H76">
        <v>45</v>
      </c>
    </row>
    <row r="77" spans="1:8" x14ac:dyDescent="0.3">
      <c r="A77" s="1" t="s">
        <v>78</v>
      </c>
      <c r="B77" s="1" t="s">
        <v>77</v>
      </c>
      <c r="C77">
        <v>42000</v>
      </c>
      <c r="D77">
        <v>85000</v>
      </c>
      <c r="E77">
        <v>800000</v>
      </c>
      <c r="F77">
        <v>40000</v>
      </c>
      <c r="G77">
        <v>0.06</v>
      </c>
      <c r="H77">
        <v>447</v>
      </c>
    </row>
    <row r="78" spans="1:8" x14ac:dyDescent="0.3">
      <c r="A78" s="1" t="s">
        <v>92</v>
      </c>
      <c r="B78" s="1" t="s">
        <v>90</v>
      </c>
      <c r="C78">
        <v>176000</v>
      </c>
      <c r="D78">
        <v>80000</v>
      </c>
      <c r="E78">
        <v>3200000</v>
      </c>
      <c r="F78">
        <v>160000</v>
      </c>
      <c r="G78">
        <v>0</v>
      </c>
      <c r="H78">
        <v>0</v>
      </c>
    </row>
    <row r="79" spans="1:8" x14ac:dyDescent="0.3">
      <c r="A79" s="1" t="s">
        <v>198</v>
      </c>
      <c r="B79" s="1" t="s">
        <v>196</v>
      </c>
      <c r="C79">
        <v>420</v>
      </c>
      <c r="D79">
        <v>80000</v>
      </c>
      <c r="E79">
        <v>120000</v>
      </c>
      <c r="F79">
        <v>6000</v>
      </c>
      <c r="G79">
        <v>0</v>
      </c>
      <c r="H79">
        <v>0</v>
      </c>
    </row>
    <row r="80" spans="1:8" x14ac:dyDescent="0.3">
      <c r="A80" s="1" t="s">
        <v>199</v>
      </c>
      <c r="B80" s="1" t="s">
        <v>196</v>
      </c>
      <c r="C80">
        <v>180</v>
      </c>
      <c r="D80">
        <v>70000</v>
      </c>
      <c r="E80">
        <v>45000</v>
      </c>
      <c r="F80">
        <v>2250</v>
      </c>
      <c r="G80">
        <v>0</v>
      </c>
      <c r="H80">
        <v>0</v>
      </c>
    </row>
    <row r="81" spans="1:8" x14ac:dyDescent="0.3">
      <c r="A81" s="1" t="s">
        <v>163</v>
      </c>
      <c r="B81" s="1" t="s">
        <v>164</v>
      </c>
      <c r="C81">
        <v>530000</v>
      </c>
      <c r="D81">
        <v>70000</v>
      </c>
      <c r="E81">
        <v>400000</v>
      </c>
      <c r="F81">
        <v>20000</v>
      </c>
      <c r="G81">
        <v>0</v>
      </c>
      <c r="H81">
        <v>0</v>
      </c>
    </row>
    <row r="82" spans="1:8" x14ac:dyDescent="0.3">
      <c r="A82" s="1" t="s">
        <v>142</v>
      </c>
      <c r="B82" s="1" t="s">
        <v>143</v>
      </c>
      <c r="C82">
        <v>55000</v>
      </c>
      <c r="D82">
        <v>65000</v>
      </c>
      <c r="E82">
        <v>2800000</v>
      </c>
      <c r="F82">
        <v>140000</v>
      </c>
      <c r="G82">
        <v>0</v>
      </c>
      <c r="H82">
        <v>0</v>
      </c>
    </row>
    <row r="83" spans="1:8" x14ac:dyDescent="0.3">
      <c r="A83" s="1" t="s">
        <v>165</v>
      </c>
      <c r="B83" s="1" t="s">
        <v>164</v>
      </c>
      <c r="C83">
        <v>500000</v>
      </c>
      <c r="D83">
        <v>60000</v>
      </c>
      <c r="E83">
        <v>450000</v>
      </c>
      <c r="F83">
        <v>22500</v>
      </c>
      <c r="G83">
        <v>0</v>
      </c>
      <c r="H83">
        <v>0</v>
      </c>
    </row>
    <row r="84" spans="1:8" x14ac:dyDescent="0.3">
      <c r="A84" s="1" t="s">
        <v>117</v>
      </c>
      <c r="B84" s="1" t="s">
        <v>118</v>
      </c>
      <c r="C84">
        <v>2400</v>
      </c>
      <c r="D84">
        <v>55000</v>
      </c>
      <c r="E84">
        <v>320000</v>
      </c>
      <c r="F84">
        <v>16000</v>
      </c>
      <c r="G84">
        <v>0</v>
      </c>
      <c r="H84">
        <v>0</v>
      </c>
    </row>
    <row r="85" spans="1:8" x14ac:dyDescent="0.3">
      <c r="A85" s="1" t="s">
        <v>166</v>
      </c>
      <c r="B85" s="1" t="s">
        <v>164</v>
      </c>
      <c r="C85">
        <v>40000</v>
      </c>
      <c r="D85">
        <v>55000</v>
      </c>
      <c r="E85">
        <v>180000</v>
      </c>
      <c r="F85">
        <v>9000</v>
      </c>
      <c r="G85">
        <v>0</v>
      </c>
      <c r="H85">
        <v>0</v>
      </c>
    </row>
    <row r="86" spans="1:8" x14ac:dyDescent="0.3">
      <c r="A86" s="1" t="s">
        <v>102</v>
      </c>
      <c r="B86" s="1" t="s">
        <v>101</v>
      </c>
      <c r="C86">
        <v>465000</v>
      </c>
      <c r="D86">
        <v>50000</v>
      </c>
      <c r="E86">
        <v>2400000</v>
      </c>
      <c r="F86">
        <v>120000</v>
      </c>
      <c r="G86">
        <v>0</v>
      </c>
      <c r="H86">
        <v>0</v>
      </c>
    </row>
    <row r="87" spans="1:8" x14ac:dyDescent="0.3">
      <c r="A87" s="1" t="s">
        <v>119</v>
      </c>
      <c r="B87" s="1" t="s">
        <v>118</v>
      </c>
      <c r="C87">
        <v>180</v>
      </c>
      <c r="D87">
        <v>50000</v>
      </c>
      <c r="E87">
        <v>40000</v>
      </c>
      <c r="F87">
        <v>2000</v>
      </c>
      <c r="G87">
        <v>0</v>
      </c>
      <c r="H87">
        <v>0</v>
      </c>
    </row>
    <row r="88" spans="1:8" x14ac:dyDescent="0.3">
      <c r="A88" s="1" t="s">
        <v>106</v>
      </c>
      <c r="B88" s="1" t="s">
        <v>101</v>
      </c>
      <c r="C88">
        <v>316000</v>
      </c>
      <c r="D88">
        <v>45000</v>
      </c>
      <c r="E88">
        <v>2800000</v>
      </c>
      <c r="F88">
        <v>140000</v>
      </c>
      <c r="G88">
        <v>0</v>
      </c>
      <c r="H88">
        <v>0</v>
      </c>
    </row>
    <row r="89" spans="1:8" x14ac:dyDescent="0.3">
      <c r="A89" s="1" t="s">
        <v>169</v>
      </c>
      <c r="B89" s="1" t="s">
        <v>164</v>
      </c>
      <c r="C89">
        <v>400</v>
      </c>
      <c r="D89">
        <v>45000</v>
      </c>
      <c r="E89">
        <v>80000</v>
      </c>
      <c r="F89">
        <v>4000</v>
      </c>
      <c r="G89">
        <v>0</v>
      </c>
      <c r="H89">
        <v>0</v>
      </c>
    </row>
    <row r="90" spans="1:8" x14ac:dyDescent="0.3">
      <c r="A90" s="1" t="s">
        <v>79</v>
      </c>
      <c r="B90" s="1" t="s">
        <v>80</v>
      </c>
      <c r="C90">
        <v>2200</v>
      </c>
      <c r="D90">
        <v>45000</v>
      </c>
      <c r="E90">
        <v>400000</v>
      </c>
      <c r="F90">
        <v>20000</v>
      </c>
      <c r="G90">
        <v>0</v>
      </c>
      <c r="H90">
        <v>0</v>
      </c>
    </row>
    <row r="91" spans="1:8" x14ac:dyDescent="0.3">
      <c r="A91" s="1" t="s">
        <v>107</v>
      </c>
      <c r="B91" s="1" t="s">
        <v>101</v>
      </c>
      <c r="C91">
        <v>300000</v>
      </c>
      <c r="D91">
        <v>40000</v>
      </c>
      <c r="E91">
        <v>1800000</v>
      </c>
      <c r="F91">
        <v>90000</v>
      </c>
      <c r="G91">
        <v>0</v>
      </c>
      <c r="H91">
        <v>0</v>
      </c>
    </row>
    <row r="92" spans="1:8" x14ac:dyDescent="0.3">
      <c r="A92" s="1" t="s">
        <v>184</v>
      </c>
      <c r="B92" s="1" t="s">
        <v>181</v>
      </c>
      <c r="C92">
        <v>110000</v>
      </c>
      <c r="D92">
        <v>38000</v>
      </c>
      <c r="E92">
        <v>280000</v>
      </c>
      <c r="F92">
        <v>14000</v>
      </c>
      <c r="G92">
        <v>0</v>
      </c>
      <c r="H92">
        <v>0</v>
      </c>
    </row>
    <row r="93" spans="1:8" x14ac:dyDescent="0.3">
      <c r="A93" s="1" t="s">
        <v>155</v>
      </c>
      <c r="B93" s="1" t="s">
        <v>154</v>
      </c>
      <c r="C93">
        <v>159000</v>
      </c>
      <c r="D93">
        <v>38000</v>
      </c>
      <c r="E93">
        <v>60000</v>
      </c>
      <c r="F93">
        <v>3000</v>
      </c>
      <c r="G93">
        <v>0</v>
      </c>
      <c r="H93">
        <v>0</v>
      </c>
    </row>
    <row r="94" spans="1:8" x14ac:dyDescent="0.3">
      <c r="A94" s="1" t="s">
        <v>153</v>
      </c>
      <c r="B94" s="1" t="s">
        <v>154</v>
      </c>
      <c r="C94">
        <v>411000</v>
      </c>
      <c r="D94">
        <v>35000</v>
      </c>
      <c r="E94">
        <v>85000</v>
      </c>
      <c r="F94">
        <v>4250</v>
      </c>
      <c r="G94">
        <v>0</v>
      </c>
      <c r="H94">
        <v>0</v>
      </c>
    </row>
    <row r="95" spans="1:8" x14ac:dyDescent="0.3">
      <c r="A95" s="1" t="s">
        <v>183</v>
      </c>
      <c r="B95" s="1" t="s">
        <v>181</v>
      </c>
      <c r="C95">
        <v>150000</v>
      </c>
      <c r="D95">
        <v>30000</v>
      </c>
      <c r="E95">
        <v>650000</v>
      </c>
      <c r="F95">
        <v>32500</v>
      </c>
      <c r="G95">
        <v>0</v>
      </c>
      <c r="H95">
        <v>0</v>
      </c>
    </row>
    <row r="96" spans="1:8" x14ac:dyDescent="0.3">
      <c r="A96" s="1" t="s">
        <v>109</v>
      </c>
      <c r="B96" s="1" t="s">
        <v>101</v>
      </c>
      <c r="C96">
        <v>90000</v>
      </c>
      <c r="D96">
        <v>28000</v>
      </c>
      <c r="E96">
        <v>650000</v>
      </c>
      <c r="F96">
        <v>32500</v>
      </c>
      <c r="G96">
        <v>0</v>
      </c>
      <c r="H96">
        <v>0</v>
      </c>
    </row>
    <row r="97" spans="1:8" x14ac:dyDescent="0.3">
      <c r="A97" s="1" t="s">
        <v>186</v>
      </c>
      <c r="B97" s="1" t="s">
        <v>181</v>
      </c>
      <c r="C97">
        <v>14000</v>
      </c>
      <c r="D97">
        <v>28000</v>
      </c>
      <c r="E97">
        <v>180000</v>
      </c>
      <c r="F97">
        <v>9000</v>
      </c>
      <c r="G97">
        <v>0</v>
      </c>
      <c r="H97">
        <v>0</v>
      </c>
    </row>
    <row r="98" spans="1:8" x14ac:dyDescent="0.3">
      <c r="A98" s="1" t="s">
        <v>103</v>
      </c>
      <c r="B98" s="1" t="s">
        <v>101</v>
      </c>
      <c r="C98">
        <v>440000</v>
      </c>
      <c r="D98">
        <v>25000</v>
      </c>
      <c r="E98">
        <v>3100000</v>
      </c>
      <c r="F98">
        <v>155000</v>
      </c>
      <c r="G98">
        <v>0</v>
      </c>
      <c r="H98">
        <v>0</v>
      </c>
    </row>
    <row r="99" spans="1:8" x14ac:dyDescent="0.3">
      <c r="A99" s="1" t="s">
        <v>108</v>
      </c>
      <c r="B99" s="1" t="s">
        <v>101</v>
      </c>
      <c r="C99">
        <v>300000</v>
      </c>
      <c r="D99">
        <v>22000</v>
      </c>
      <c r="E99">
        <v>2200000</v>
      </c>
      <c r="F99">
        <v>110000</v>
      </c>
      <c r="G99">
        <v>0</v>
      </c>
      <c r="H99">
        <v>0</v>
      </c>
    </row>
    <row r="100" spans="1:8" x14ac:dyDescent="0.3">
      <c r="A100" s="1" t="s">
        <v>182</v>
      </c>
      <c r="B100" s="1" t="s">
        <v>181</v>
      </c>
      <c r="C100">
        <v>381000</v>
      </c>
      <c r="D100">
        <v>22000</v>
      </c>
      <c r="E100">
        <v>450000</v>
      </c>
      <c r="F100">
        <v>22500</v>
      </c>
      <c r="G100">
        <v>0</v>
      </c>
      <c r="H100">
        <v>0</v>
      </c>
    </row>
    <row r="101" spans="1:8" x14ac:dyDescent="0.3">
      <c r="A101" s="1" t="s">
        <v>157</v>
      </c>
      <c r="B101" s="1" t="s">
        <v>154</v>
      </c>
      <c r="C101">
        <v>12</v>
      </c>
      <c r="D101">
        <v>22000</v>
      </c>
      <c r="E101">
        <v>1500</v>
      </c>
      <c r="F101">
        <v>75</v>
      </c>
      <c r="G101">
        <v>0</v>
      </c>
      <c r="H101">
        <v>0</v>
      </c>
    </row>
    <row r="102" spans="1:8" x14ac:dyDescent="0.3">
      <c r="A102" s="1" t="s">
        <v>104</v>
      </c>
      <c r="B102" s="1" t="s">
        <v>101</v>
      </c>
      <c r="C102">
        <v>420000</v>
      </c>
      <c r="D102">
        <v>20000</v>
      </c>
      <c r="E102">
        <v>3800000</v>
      </c>
      <c r="F102">
        <v>190000</v>
      </c>
      <c r="G102">
        <v>0</v>
      </c>
      <c r="H102">
        <v>0</v>
      </c>
    </row>
    <row r="103" spans="1:8" x14ac:dyDescent="0.3">
      <c r="A103" s="1" t="s">
        <v>100</v>
      </c>
      <c r="B103" s="1" t="s">
        <v>101</v>
      </c>
      <c r="C103">
        <v>2100000</v>
      </c>
      <c r="D103">
        <v>18000</v>
      </c>
      <c r="E103">
        <v>9500000</v>
      </c>
      <c r="F103">
        <v>475000</v>
      </c>
      <c r="G103">
        <v>0</v>
      </c>
      <c r="H103">
        <v>0</v>
      </c>
    </row>
    <row r="104" spans="1:8" x14ac:dyDescent="0.3">
      <c r="A104" s="1" t="s">
        <v>105</v>
      </c>
      <c r="B104" s="1" t="s">
        <v>101</v>
      </c>
      <c r="C104">
        <v>330000</v>
      </c>
      <c r="D104">
        <v>18000</v>
      </c>
      <c r="E104">
        <v>2000000</v>
      </c>
      <c r="F104">
        <v>100000</v>
      </c>
      <c r="G104">
        <v>0</v>
      </c>
      <c r="H104">
        <v>0</v>
      </c>
    </row>
    <row r="105" spans="1:8" x14ac:dyDescent="0.3">
      <c r="A105" s="1" t="s">
        <v>180</v>
      </c>
      <c r="B105" s="1" t="s">
        <v>181</v>
      </c>
      <c r="C105">
        <v>400000</v>
      </c>
      <c r="D105">
        <v>18000</v>
      </c>
      <c r="E105">
        <v>300000</v>
      </c>
      <c r="F105">
        <v>15000</v>
      </c>
      <c r="G105">
        <v>0</v>
      </c>
      <c r="H105">
        <v>0</v>
      </c>
    </row>
    <row r="106" spans="1:8" x14ac:dyDescent="0.3">
      <c r="A106" s="1" t="s">
        <v>185</v>
      </c>
      <c r="B106" s="1" t="s">
        <v>181</v>
      </c>
      <c r="C106">
        <v>70000</v>
      </c>
      <c r="D106">
        <v>16000</v>
      </c>
      <c r="E106">
        <v>120000</v>
      </c>
      <c r="F106">
        <v>6000</v>
      </c>
      <c r="G106">
        <v>0</v>
      </c>
      <c r="H106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4302-8A65-4888-A0F5-A3646A326416}">
  <dimension ref="A1:I16"/>
  <sheetViews>
    <sheetView workbookViewId="0"/>
  </sheetViews>
  <sheetFormatPr defaultRowHeight="14.4" x14ac:dyDescent="0.3"/>
  <cols>
    <col min="1" max="1" width="12.6640625" bestFit="1" customWidth="1"/>
    <col min="2" max="2" width="23.5546875" bestFit="1" customWidth="1"/>
    <col min="3" max="3" width="17.21875" bestFit="1" customWidth="1"/>
    <col min="4" max="4" width="16.5546875" bestFit="1" customWidth="1"/>
    <col min="5" max="5" width="21.44140625" bestFit="1" customWidth="1"/>
    <col min="6" max="6" width="18" bestFit="1" customWidth="1"/>
    <col min="7" max="7" width="28" bestFit="1" customWidth="1"/>
    <col min="8" max="8" width="28.6640625" bestFit="1" customWidth="1"/>
    <col min="9" max="9" width="35" bestFit="1" customWidth="1"/>
  </cols>
  <sheetData>
    <row r="1" spans="1:9" x14ac:dyDescent="0.3">
      <c r="A1" t="s">
        <v>70</v>
      </c>
      <c r="B1" t="s">
        <v>212</v>
      </c>
      <c r="C1" t="s">
        <v>213</v>
      </c>
      <c r="D1" t="s">
        <v>207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</row>
    <row r="2" spans="1:9" x14ac:dyDescent="0.3">
      <c r="A2" s="1" t="s">
        <v>219</v>
      </c>
      <c r="B2">
        <v>6</v>
      </c>
      <c r="C2">
        <v>150</v>
      </c>
      <c r="D2">
        <v>5</v>
      </c>
      <c r="E2">
        <v>25</v>
      </c>
      <c r="F2">
        <v>30</v>
      </c>
      <c r="G2">
        <v>90000</v>
      </c>
      <c r="H2">
        <v>3000</v>
      </c>
      <c r="I2">
        <v>450000</v>
      </c>
    </row>
    <row r="3" spans="1:9" x14ac:dyDescent="0.3">
      <c r="A3" s="1" t="s">
        <v>220</v>
      </c>
      <c r="B3">
        <v>12</v>
      </c>
      <c r="C3">
        <v>30</v>
      </c>
      <c r="D3">
        <v>6</v>
      </c>
      <c r="E3">
        <v>60</v>
      </c>
      <c r="F3">
        <v>66</v>
      </c>
      <c r="G3">
        <v>180000</v>
      </c>
      <c r="H3">
        <v>2727</v>
      </c>
      <c r="I3">
        <v>81818</v>
      </c>
    </row>
    <row r="4" spans="1:9" x14ac:dyDescent="0.3">
      <c r="A4" s="1" t="s">
        <v>201</v>
      </c>
      <c r="B4">
        <v>6</v>
      </c>
      <c r="C4">
        <v>60</v>
      </c>
      <c r="D4">
        <v>6</v>
      </c>
      <c r="E4">
        <v>2</v>
      </c>
      <c r="F4">
        <v>8</v>
      </c>
      <c r="G4">
        <v>90000</v>
      </c>
      <c r="H4">
        <v>11250</v>
      </c>
      <c r="I4">
        <v>675000</v>
      </c>
    </row>
    <row r="5" spans="1:9" x14ac:dyDescent="0.3">
      <c r="A5" s="1" t="s">
        <v>221</v>
      </c>
      <c r="B5">
        <v>10</v>
      </c>
      <c r="C5">
        <v>55</v>
      </c>
      <c r="D5">
        <v>1</v>
      </c>
      <c r="E5">
        <v>100</v>
      </c>
      <c r="F5">
        <v>101</v>
      </c>
      <c r="G5">
        <v>150000</v>
      </c>
      <c r="H5">
        <v>1485</v>
      </c>
      <c r="I5">
        <v>81683</v>
      </c>
    </row>
    <row r="6" spans="1:9" x14ac:dyDescent="0.3">
      <c r="A6" s="1" t="s">
        <v>222</v>
      </c>
      <c r="B6">
        <v>3</v>
      </c>
      <c r="C6">
        <v>100</v>
      </c>
      <c r="D6">
        <v>7</v>
      </c>
      <c r="E6">
        <v>80</v>
      </c>
      <c r="F6">
        <v>87</v>
      </c>
      <c r="G6">
        <v>45000</v>
      </c>
      <c r="H6">
        <v>517</v>
      </c>
      <c r="I6">
        <v>51724</v>
      </c>
    </row>
    <row r="7" spans="1:9" x14ac:dyDescent="0.3">
      <c r="A7" s="1" t="s">
        <v>223</v>
      </c>
      <c r="B7">
        <v>8</v>
      </c>
      <c r="C7">
        <v>30</v>
      </c>
      <c r="D7">
        <v>4</v>
      </c>
      <c r="E7">
        <v>30</v>
      </c>
      <c r="F7">
        <v>34</v>
      </c>
      <c r="G7">
        <v>120000</v>
      </c>
      <c r="H7">
        <v>3529</v>
      </c>
      <c r="I7">
        <v>105882</v>
      </c>
    </row>
    <row r="8" spans="1:9" x14ac:dyDescent="0.3">
      <c r="A8" s="1" t="s">
        <v>224</v>
      </c>
      <c r="B8">
        <v>2</v>
      </c>
      <c r="C8">
        <v>90</v>
      </c>
      <c r="D8">
        <v>6</v>
      </c>
      <c r="E8">
        <v>80</v>
      </c>
      <c r="F8">
        <v>86</v>
      </c>
      <c r="G8">
        <v>30000</v>
      </c>
      <c r="H8">
        <v>349</v>
      </c>
      <c r="I8">
        <v>31395</v>
      </c>
    </row>
    <row r="9" spans="1:9" x14ac:dyDescent="0.3">
      <c r="A9" s="1" t="s">
        <v>225</v>
      </c>
      <c r="B9">
        <v>4</v>
      </c>
      <c r="C9">
        <v>30</v>
      </c>
      <c r="D9">
        <v>3</v>
      </c>
      <c r="E9">
        <v>5</v>
      </c>
      <c r="F9">
        <v>8</v>
      </c>
      <c r="G9">
        <v>60000</v>
      </c>
      <c r="H9">
        <v>7500</v>
      </c>
      <c r="I9">
        <v>225000</v>
      </c>
    </row>
    <row r="10" spans="1:9" x14ac:dyDescent="0.3">
      <c r="A10" s="1" t="s">
        <v>226</v>
      </c>
      <c r="B10">
        <v>1</v>
      </c>
      <c r="C10">
        <v>60</v>
      </c>
      <c r="D10">
        <v>4</v>
      </c>
      <c r="E10">
        <v>60</v>
      </c>
      <c r="F10">
        <v>64</v>
      </c>
      <c r="G10">
        <v>15000</v>
      </c>
      <c r="H10">
        <v>234</v>
      </c>
      <c r="I10">
        <v>14062</v>
      </c>
    </row>
    <row r="11" spans="1:9" x14ac:dyDescent="0.3">
      <c r="A11" s="1" t="s">
        <v>227</v>
      </c>
      <c r="B11">
        <v>1</v>
      </c>
      <c r="C11">
        <v>60</v>
      </c>
      <c r="D11">
        <v>0</v>
      </c>
      <c r="E11">
        <v>30</v>
      </c>
      <c r="F11">
        <v>30</v>
      </c>
      <c r="G11">
        <v>15000</v>
      </c>
      <c r="H11">
        <v>500</v>
      </c>
      <c r="I11">
        <v>30000</v>
      </c>
    </row>
    <row r="12" spans="1:9" x14ac:dyDescent="0.3">
      <c r="A12" s="1" t="s">
        <v>228</v>
      </c>
      <c r="B12">
        <v>5</v>
      </c>
      <c r="C12">
        <v>50</v>
      </c>
      <c r="D12">
        <v>0</v>
      </c>
      <c r="E12">
        <v>150</v>
      </c>
      <c r="F12">
        <v>150</v>
      </c>
      <c r="G12">
        <v>75000</v>
      </c>
      <c r="H12">
        <v>500</v>
      </c>
      <c r="I12">
        <v>25000</v>
      </c>
    </row>
    <row r="13" spans="1:9" x14ac:dyDescent="0.3">
      <c r="A13" s="1" t="s">
        <v>159</v>
      </c>
      <c r="B13">
        <v>1</v>
      </c>
      <c r="C13">
        <v>200</v>
      </c>
      <c r="D13">
        <v>4</v>
      </c>
      <c r="E13">
        <v>10</v>
      </c>
      <c r="F13">
        <v>14</v>
      </c>
      <c r="G13">
        <v>15000</v>
      </c>
      <c r="H13">
        <v>1071</v>
      </c>
      <c r="I13">
        <v>214286</v>
      </c>
    </row>
    <row r="14" spans="1:9" x14ac:dyDescent="0.3">
      <c r="A14" s="1" t="s">
        <v>101</v>
      </c>
      <c r="B14">
        <v>2</v>
      </c>
      <c r="C14">
        <v>100</v>
      </c>
      <c r="D14">
        <v>9</v>
      </c>
      <c r="E14">
        <v>20</v>
      </c>
      <c r="F14">
        <v>29</v>
      </c>
      <c r="G14">
        <v>30000</v>
      </c>
      <c r="H14">
        <v>1034</v>
      </c>
      <c r="I14">
        <v>103448</v>
      </c>
    </row>
    <row r="15" spans="1:9" x14ac:dyDescent="0.3">
      <c r="A15" s="1" t="s">
        <v>134</v>
      </c>
      <c r="B15">
        <v>1</v>
      </c>
      <c r="C15">
        <v>120</v>
      </c>
      <c r="D15">
        <v>8</v>
      </c>
      <c r="E15">
        <v>30</v>
      </c>
      <c r="F15">
        <v>38</v>
      </c>
      <c r="G15">
        <v>15000</v>
      </c>
      <c r="H15">
        <v>395</v>
      </c>
      <c r="I15">
        <v>47368</v>
      </c>
    </row>
    <row r="16" spans="1:9" x14ac:dyDescent="0.3">
      <c r="A16" s="1" t="s">
        <v>77</v>
      </c>
      <c r="B16">
        <v>0</v>
      </c>
      <c r="C16">
        <v>0</v>
      </c>
      <c r="D16">
        <v>3</v>
      </c>
      <c r="E16">
        <v>0</v>
      </c>
      <c r="F16">
        <v>3</v>
      </c>
      <c r="G16">
        <v>0</v>
      </c>
      <c r="H16">
        <v>0</v>
      </c>
      <c r="I16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8C51-F9E3-4F67-B97C-3CF851633F38}">
  <dimension ref="A1:F27"/>
  <sheetViews>
    <sheetView workbookViewId="0"/>
  </sheetViews>
  <sheetFormatPr defaultRowHeight="14.4" x14ac:dyDescent="0.3"/>
  <cols>
    <col min="1" max="1" width="19.109375" bestFit="1" customWidth="1"/>
    <col min="2" max="2" width="16.5546875" bestFit="1" customWidth="1"/>
    <col min="3" max="3" width="17" bestFit="1" customWidth="1"/>
    <col min="4" max="4" width="21.109375" bestFit="1" customWidth="1"/>
    <col min="5" max="5" width="30.109375" bestFit="1" customWidth="1"/>
    <col min="6" max="6" width="24.77734375" bestFit="1" customWidth="1"/>
  </cols>
  <sheetData>
    <row r="1" spans="1:6" x14ac:dyDescent="0.3">
      <c r="A1" t="s">
        <v>70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</row>
    <row r="2" spans="1:6" x14ac:dyDescent="0.3">
      <c r="A2" s="1" t="s">
        <v>77</v>
      </c>
      <c r="B2">
        <v>2</v>
      </c>
      <c r="C2">
        <v>202000</v>
      </c>
      <c r="D2">
        <v>17970000000</v>
      </c>
      <c r="E2">
        <v>2000000</v>
      </c>
      <c r="F2">
        <v>88960</v>
      </c>
    </row>
    <row r="3" spans="1:6" x14ac:dyDescent="0.3">
      <c r="A3" s="1" t="s">
        <v>80</v>
      </c>
      <c r="B3">
        <v>1</v>
      </c>
      <c r="C3">
        <v>2200</v>
      </c>
      <c r="D3">
        <v>99000000</v>
      </c>
      <c r="E3">
        <v>400000</v>
      </c>
      <c r="F3">
        <v>45000</v>
      </c>
    </row>
    <row r="4" spans="1:6" x14ac:dyDescent="0.3">
      <c r="A4" s="1" t="s">
        <v>82</v>
      </c>
      <c r="B4">
        <v>7</v>
      </c>
      <c r="C4">
        <v>13330</v>
      </c>
      <c r="D4">
        <v>9472000000</v>
      </c>
      <c r="E4">
        <v>610000</v>
      </c>
      <c r="F4">
        <v>710578</v>
      </c>
    </row>
    <row r="5" spans="1:6" x14ac:dyDescent="0.3">
      <c r="A5" s="1" t="s">
        <v>90</v>
      </c>
      <c r="B5">
        <v>5</v>
      </c>
      <c r="C5">
        <v>847000</v>
      </c>
      <c r="D5">
        <v>77900000000</v>
      </c>
      <c r="E5">
        <v>15100000</v>
      </c>
      <c r="F5">
        <v>91972</v>
      </c>
    </row>
    <row r="6" spans="1:6" x14ac:dyDescent="0.3">
      <c r="A6" s="1" t="s">
        <v>96</v>
      </c>
      <c r="B6">
        <v>4</v>
      </c>
      <c r="C6">
        <v>558000</v>
      </c>
      <c r="D6">
        <v>74100000000</v>
      </c>
      <c r="E6">
        <v>3550000</v>
      </c>
      <c r="F6">
        <v>132796</v>
      </c>
    </row>
    <row r="7" spans="1:6" x14ac:dyDescent="0.3">
      <c r="A7" s="1" t="s">
        <v>101</v>
      </c>
      <c r="B7">
        <v>9</v>
      </c>
      <c r="C7">
        <v>4761000</v>
      </c>
      <c r="D7">
        <v>121730000000</v>
      </c>
      <c r="E7">
        <v>28250000</v>
      </c>
      <c r="F7">
        <v>25568</v>
      </c>
    </row>
    <row r="8" spans="1:6" x14ac:dyDescent="0.3">
      <c r="A8" s="1" t="s">
        <v>111</v>
      </c>
      <c r="B8">
        <v>6</v>
      </c>
      <c r="C8">
        <v>2204000</v>
      </c>
      <c r="D8">
        <v>751300000000</v>
      </c>
      <c r="E8">
        <v>20380000</v>
      </c>
      <c r="F8">
        <v>340880</v>
      </c>
    </row>
    <row r="9" spans="1:6" x14ac:dyDescent="0.3">
      <c r="A9" s="1" t="s">
        <v>118</v>
      </c>
      <c r="B9">
        <v>2</v>
      </c>
      <c r="C9">
        <v>2580</v>
      </c>
      <c r="D9">
        <v>141000000</v>
      </c>
      <c r="E9">
        <v>360000</v>
      </c>
      <c r="F9">
        <v>54651</v>
      </c>
    </row>
    <row r="10" spans="1:6" x14ac:dyDescent="0.3">
      <c r="A10" s="1" t="s">
        <v>121</v>
      </c>
      <c r="B10">
        <v>2</v>
      </c>
      <c r="C10">
        <v>23000</v>
      </c>
      <c r="D10">
        <v>2180000000</v>
      </c>
      <c r="E10">
        <v>190000</v>
      </c>
      <c r="F10">
        <v>94783</v>
      </c>
    </row>
    <row r="11" spans="1:6" x14ac:dyDescent="0.3">
      <c r="A11" s="1" t="s">
        <v>124</v>
      </c>
      <c r="B11">
        <v>2</v>
      </c>
      <c r="C11">
        <v>307000</v>
      </c>
      <c r="D11">
        <v>36210000000</v>
      </c>
      <c r="E11">
        <v>210000</v>
      </c>
      <c r="F11">
        <v>117948</v>
      </c>
    </row>
    <row r="12" spans="1:6" x14ac:dyDescent="0.3">
      <c r="A12" s="1" t="s">
        <v>127</v>
      </c>
      <c r="B12">
        <v>2</v>
      </c>
      <c r="C12">
        <v>4500</v>
      </c>
      <c r="D12">
        <v>910000000</v>
      </c>
      <c r="E12">
        <v>65000</v>
      </c>
      <c r="F12">
        <v>202222</v>
      </c>
    </row>
    <row r="13" spans="1:6" x14ac:dyDescent="0.3">
      <c r="A13" s="1" t="s">
        <v>130</v>
      </c>
      <c r="B13">
        <v>3</v>
      </c>
      <c r="C13">
        <v>125000</v>
      </c>
      <c r="D13">
        <v>56420000000</v>
      </c>
      <c r="E13">
        <v>7100000</v>
      </c>
      <c r="F13">
        <v>451360</v>
      </c>
    </row>
    <row r="14" spans="1:6" x14ac:dyDescent="0.3">
      <c r="A14" s="1" t="s">
        <v>134</v>
      </c>
      <c r="B14">
        <v>8</v>
      </c>
      <c r="C14">
        <v>879850</v>
      </c>
      <c r="D14">
        <v>247699000000</v>
      </c>
      <c r="E14">
        <v>12960000</v>
      </c>
      <c r="F14">
        <v>281524</v>
      </c>
    </row>
    <row r="15" spans="1:6" x14ac:dyDescent="0.3">
      <c r="A15" s="1" t="s">
        <v>143</v>
      </c>
      <c r="B15">
        <v>2</v>
      </c>
      <c r="C15">
        <v>83000</v>
      </c>
      <c r="D15">
        <v>6655000000</v>
      </c>
      <c r="E15">
        <v>2980000</v>
      </c>
      <c r="F15">
        <v>80181</v>
      </c>
    </row>
    <row r="16" spans="1:6" x14ac:dyDescent="0.3">
      <c r="A16" s="1" t="s">
        <v>146</v>
      </c>
      <c r="B16">
        <v>3</v>
      </c>
      <c r="C16">
        <v>596000</v>
      </c>
      <c r="D16">
        <v>95520000000</v>
      </c>
      <c r="E16">
        <v>5050000</v>
      </c>
      <c r="F16">
        <v>160268</v>
      </c>
    </row>
    <row r="17" spans="1:6" x14ac:dyDescent="0.3">
      <c r="A17" s="1" t="s">
        <v>150</v>
      </c>
      <c r="B17">
        <v>3</v>
      </c>
      <c r="C17">
        <v>382000</v>
      </c>
      <c r="D17">
        <v>37390000000</v>
      </c>
      <c r="E17">
        <v>7200000</v>
      </c>
      <c r="F17">
        <v>97880</v>
      </c>
    </row>
    <row r="18" spans="1:6" x14ac:dyDescent="0.3">
      <c r="A18" s="1" t="s">
        <v>154</v>
      </c>
      <c r="B18">
        <v>4</v>
      </c>
      <c r="C18">
        <v>576912</v>
      </c>
      <c r="D18">
        <v>22428264000</v>
      </c>
      <c r="E18">
        <v>171500</v>
      </c>
      <c r="F18">
        <v>38876</v>
      </c>
    </row>
    <row r="19" spans="1:6" x14ac:dyDescent="0.3">
      <c r="A19" s="1" t="s">
        <v>159</v>
      </c>
      <c r="B19">
        <v>4</v>
      </c>
      <c r="C19">
        <v>193000</v>
      </c>
      <c r="D19">
        <v>35650000000</v>
      </c>
      <c r="E19">
        <v>1870000</v>
      </c>
      <c r="F19">
        <v>184715</v>
      </c>
    </row>
    <row r="20" spans="1:6" x14ac:dyDescent="0.3">
      <c r="A20" s="1" t="s">
        <v>164</v>
      </c>
      <c r="B20">
        <v>6</v>
      </c>
      <c r="C20">
        <v>1104400</v>
      </c>
      <c r="D20">
        <v>73913000000</v>
      </c>
      <c r="E20">
        <v>1410000</v>
      </c>
      <c r="F20">
        <v>66926</v>
      </c>
    </row>
    <row r="21" spans="1:6" x14ac:dyDescent="0.3">
      <c r="A21" s="1" t="s">
        <v>171</v>
      </c>
      <c r="B21">
        <v>3</v>
      </c>
      <c r="C21">
        <v>247000</v>
      </c>
      <c r="D21">
        <v>56320000000</v>
      </c>
      <c r="E21">
        <v>720000</v>
      </c>
      <c r="F21">
        <v>228016</v>
      </c>
    </row>
    <row r="22" spans="1:6" x14ac:dyDescent="0.3">
      <c r="A22" s="1" t="s">
        <v>175</v>
      </c>
      <c r="B22">
        <v>5</v>
      </c>
      <c r="C22">
        <v>378000</v>
      </c>
      <c r="D22">
        <v>129090000000</v>
      </c>
      <c r="E22">
        <v>10900000</v>
      </c>
      <c r="F22">
        <v>341508</v>
      </c>
    </row>
    <row r="23" spans="1:6" x14ac:dyDescent="0.3">
      <c r="A23" s="1" t="s">
        <v>181</v>
      </c>
      <c r="B23">
        <v>6</v>
      </c>
      <c r="C23">
        <v>1125000</v>
      </c>
      <c r="D23">
        <v>25774000000</v>
      </c>
      <c r="E23">
        <v>1980000</v>
      </c>
      <c r="F23">
        <v>22910</v>
      </c>
    </row>
    <row r="24" spans="1:6" x14ac:dyDescent="0.3">
      <c r="A24" s="1" t="s">
        <v>188</v>
      </c>
      <c r="B24">
        <v>4</v>
      </c>
      <c r="C24">
        <v>283000</v>
      </c>
      <c r="D24">
        <v>72140000000</v>
      </c>
      <c r="E24">
        <v>700000</v>
      </c>
      <c r="F24">
        <v>254912</v>
      </c>
    </row>
    <row r="25" spans="1:6" x14ac:dyDescent="0.3">
      <c r="A25" s="1" t="s">
        <v>193</v>
      </c>
      <c r="B25">
        <v>2</v>
      </c>
      <c r="C25">
        <v>136000</v>
      </c>
      <c r="D25">
        <v>51850000000</v>
      </c>
      <c r="E25">
        <v>280000</v>
      </c>
      <c r="F25">
        <v>381250</v>
      </c>
    </row>
    <row r="26" spans="1:6" x14ac:dyDescent="0.3">
      <c r="A26" s="1" t="s">
        <v>196</v>
      </c>
      <c r="B26">
        <v>4</v>
      </c>
      <c r="C26">
        <v>196600</v>
      </c>
      <c r="D26">
        <v>22136200000</v>
      </c>
      <c r="E26">
        <v>995000</v>
      </c>
      <c r="F26">
        <v>112595</v>
      </c>
    </row>
    <row r="27" spans="1:6" x14ac:dyDescent="0.3">
      <c r="A27" s="1" t="s">
        <v>201</v>
      </c>
      <c r="B27">
        <v>6</v>
      </c>
      <c r="C27">
        <v>506000</v>
      </c>
      <c r="D27">
        <v>127430000000</v>
      </c>
      <c r="E27">
        <v>9200000</v>
      </c>
      <c r="F27">
        <v>251838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724A-6BD8-4763-9A63-7CE703F514E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730761-9356-40F0-AAF3-E383708F23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TopSheet</vt:lpstr>
      <vt:lpstr>basket_trajectory</vt:lpstr>
      <vt:lpstr>basket_composition</vt:lpstr>
      <vt:lpstr>maryfontaine_headlines</vt:lpstr>
      <vt:lpstr>external_companies</vt:lpstr>
      <vt:lpstr>mpc_calc_per_company</vt:lpstr>
      <vt:lpstr>transactions_per_business</vt:lpstr>
      <vt:lpstr>external_by_sector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Tillotson</dc:creator>
  <cp:lastModifiedBy>Steve Tillotson</cp:lastModifiedBy>
  <dcterms:created xsi:type="dcterms:W3CDTF">2026-05-22T13:38:20Z</dcterms:created>
  <dcterms:modified xsi:type="dcterms:W3CDTF">2026-05-22T15:36:42Z</dcterms:modified>
</cp:coreProperties>
</file>